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eria Prima" sheetId="1" state="visible" r:id="rId1"/>
    <sheet name="Sub-Productos" sheetId="2" state="visible" r:id="rId2"/>
    <sheet name="BOM Menú" sheetId="3" state="visible" r:id="rId3"/>
    <sheet name="Explicación" sheetId="4" state="visible" r:id="rId4"/>
  </sheets>
  <definedNames>
    <definedName name="ListaIngredientes">'Materia Prima'!$B$3:$B$194</definedName>
    <definedName name="_xlnm._FilterDatabase" localSheetId="0" hidden="1">'Materia Prima'!$A$2:$H$194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i val="1"/>
      <color rgb="00666666"/>
      <sz val="9"/>
    </font>
    <font>
      <b val="1"/>
      <color rgb="00FFFFFF"/>
      <sz val="11"/>
    </font>
    <font>
      <b val="1"/>
      <sz val="11"/>
    </font>
    <font>
      <b val="1"/>
    </font>
    <font>
      <b val="1"/>
      <color rgb="002F5496"/>
    </font>
    <font>
      <b val="1"/>
      <color rgb="00CC0000"/>
    </font>
    <font>
      <b val="1"/>
      <sz val="13"/>
    </font>
  </fonts>
  <fills count="7">
    <fill>
      <patternFill/>
    </fill>
    <fill>
      <patternFill patternType="gray125"/>
    </fill>
    <fill>
      <patternFill patternType="solid">
        <fgColor rgb="00F2F2F2"/>
        <bgColor rgb="00F2F2F2"/>
      </patternFill>
    </fill>
    <fill>
      <patternFill patternType="solid">
        <fgColor rgb="002F5496"/>
        <bgColor rgb="002F5496"/>
      </patternFill>
    </fill>
    <fill>
      <patternFill patternType="solid">
        <fgColor rgb="00D6E4F0"/>
        <bgColor rgb="00D6E4F0"/>
      </patternFill>
    </fill>
    <fill>
      <patternFill patternType="solid">
        <fgColor rgb="00FFF2CC"/>
        <bgColor rgb="00FFF2CC"/>
      </patternFill>
    </fill>
    <fill>
      <patternFill patternType="solid">
        <fgColor rgb="00FFE0E0"/>
        <bgColor rgb="00FFE0E0"/>
      </patternFill>
    </fill>
  </fills>
  <borders count="2">
    <border>
      <left/>
      <right/>
      <top/>
      <bottom/>
      <diagonal/>
    </border>
    <border>
      <bottom style="thin">
        <color rgb="00CCCC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wrapText="1"/>
    </xf>
    <xf numFmtId="0" fontId="2" fillId="3" borderId="0" pivotButton="0" quotePrefix="0" xfId="0"/>
    <xf numFmtId="0" fontId="3" fillId="4" borderId="0" pivotButton="0" quotePrefix="0" xfId="0"/>
    <xf numFmtId="0" fontId="0" fillId="4" borderId="0" pivotButton="0" quotePrefix="0" xfId="0"/>
    <xf numFmtId="0" fontId="0" fillId="0" borderId="1" pivotButton="0" quotePrefix="0" xfId="0"/>
    <xf numFmtId="0" fontId="0" fillId="5" borderId="0" pivotButton="0" quotePrefix="0" xfId="0"/>
    <xf numFmtId="0" fontId="4" fillId="4" borderId="0" pivotButton="0" quotePrefix="0" xfId="0"/>
    <xf numFmtId="0" fontId="4" fillId="5" borderId="0" pivotButton="0" quotePrefix="0" xfId="0"/>
    <xf numFmtId="0" fontId="5" fillId="5" borderId="0" pivotButton="0" quotePrefix="0" xfId="0"/>
    <xf numFmtId="0" fontId="6" fillId="6" borderId="0" pivotButton="0" quotePrefix="0" xfId="0"/>
    <xf numFmtId="0" fontId="0" fillId="6" borderId="0" pivotButton="0" quotePrefix="0" xfId="0"/>
    <xf numFmtId="0" fontId="7"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4"/>
  <sheetViews>
    <sheetView workbookViewId="0">
      <pane ySplit="2" topLeftCell="A3" activePane="bottomLeft" state="frozen"/>
      <selection pane="bottomLeft" activeCell="A1" sqref="A1"/>
    </sheetView>
  </sheetViews>
  <sheetFormatPr baseColWidth="8" defaultRowHeight="15"/>
  <cols>
    <col width="38" customWidth="1" min="1" max="1"/>
    <col width="50" customWidth="1" min="2" max="2"/>
    <col width="49" customWidth="1" min="3" max="3"/>
    <col width="24" customWidth="1" min="4" max="4"/>
    <col width="36" customWidth="1" min="5" max="5"/>
    <col width="19" customWidth="1" min="6" max="6"/>
    <col width="30" customWidth="1" min="7" max="7"/>
    <col width="43" customWidth="1" min="8" max="8"/>
  </cols>
  <sheetData>
    <row r="1" ht="35" customHeight="1">
      <c r="A1" s="1" t="inlineStr">
        <is>
          <t>ID único en Supabase</t>
        </is>
      </c>
      <c r="B1" s="1" t="inlineStr">
        <is>
          <t>Nombre del producto como aparece en el sistema</t>
        </is>
      </c>
      <c r="C1" s="1" t="inlineStr">
        <is>
          <t>Unidad en la que se lleva el inventario (stock)</t>
        </is>
      </c>
      <c r="D1" s="1" t="inlineStr">
        <is>
          <t>Categoría del producto</t>
        </is>
      </c>
      <c r="E1" s="1" t="inlineStr">
        <is>
          <t>Precio por 1 unidad de stock (USD)</t>
        </is>
      </c>
      <c r="F1" s="1" t="inlineStr">
        <is>
          <t>¿Producto activo?</t>
        </is>
      </c>
      <c r="G1" s="1" t="inlineStr">
        <is>
          <t>¿Aparece en conteo nocturno?</t>
        </is>
      </c>
      <c r="H1" s="1" t="inlineStr">
        <is>
          <t>Stock total actual (todas las sucursales)</t>
        </is>
      </c>
    </row>
    <row r="2">
      <c r="A2" s="2" t="inlineStr">
        <is>
          <t>id</t>
        </is>
      </c>
      <c r="B2" s="2" t="inlineStr">
        <is>
          <t>nombre</t>
        </is>
      </c>
      <c r="C2" s="2" t="inlineStr">
        <is>
          <t>unidad_stock</t>
        </is>
      </c>
      <c r="D2" s="2" t="inlineStr">
        <is>
          <t>categoria</t>
        </is>
      </c>
      <c r="E2" s="2" t="inlineStr">
        <is>
          <t>precio_unit</t>
        </is>
      </c>
      <c r="F2" s="2" t="inlineStr">
        <is>
          <t>activo</t>
        </is>
      </c>
      <c r="G2" s="2" t="inlineStr">
        <is>
          <t>en_conteo</t>
        </is>
      </c>
      <c r="H2" s="2" t="inlineStr">
        <is>
          <t>stock_total</t>
        </is>
      </c>
    </row>
    <row r="3">
      <c r="A3" t="inlineStr">
        <is>
          <t>fdd67993-4f0f-447c-8466-2b791ed3bcc1</t>
        </is>
      </c>
      <c r="B3" t="inlineStr">
        <is>
          <t>1250 Margarina</t>
        </is>
      </c>
      <c r="C3" t="inlineStr">
        <is>
          <t>Unidad</t>
        </is>
      </c>
      <c r="D3" t="inlineStr">
        <is>
          <t>Insumo Cocina</t>
        </is>
      </c>
      <c r="E3" t="n">
        <v>9.550000000000001</v>
      </c>
      <c r="F3" t="b">
        <v>1</v>
      </c>
      <c r="G3" t="b">
        <v>0</v>
      </c>
      <c r="H3" t="n">
        <v>0</v>
      </c>
    </row>
    <row r="4">
      <c r="A4" t="inlineStr">
        <is>
          <t>0b216432-013b-4ee7-851e-2f4964232329</t>
        </is>
      </c>
      <c r="B4" t="inlineStr">
        <is>
          <t>1250 Tomates</t>
        </is>
      </c>
      <c r="C4" t="inlineStr">
        <is>
          <t>lata</t>
        </is>
      </c>
      <c r="D4" t="inlineStr">
        <is>
          <t>Insumo Cocina</t>
        </is>
      </c>
      <c r="E4" t="n">
        <v>7.07</v>
      </c>
      <c r="F4" t="b">
        <v>1</v>
      </c>
      <c r="G4" t="b">
        <v>0</v>
      </c>
      <c r="H4" t="n">
        <v>0</v>
      </c>
    </row>
    <row r="5">
      <c r="A5" t="inlineStr">
        <is>
          <t>a75ccc77-0209-4828-a446-689d8db6f1a9</t>
        </is>
      </c>
      <c r="B5" t="inlineStr">
        <is>
          <t>16100 Pepinillos</t>
        </is>
      </c>
      <c r="C5" t="inlineStr">
        <is>
          <t>Unidad</t>
        </is>
      </c>
      <c r="D5" t="inlineStr">
        <is>
          <t>Insumo Hamburguesa</t>
        </is>
      </c>
      <c r="E5" t="n">
        <v>5.74</v>
      </c>
      <c r="F5" t="b">
        <v>1</v>
      </c>
      <c r="G5" t="b">
        <v>0</v>
      </c>
      <c r="H5" t="n">
        <v>0</v>
      </c>
    </row>
    <row r="6">
      <c r="A6" t="inlineStr">
        <is>
          <t>319db2d5-9f6e-4f1f-995b-3a8fd4824bc2</t>
        </is>
      </c>
      <c r="B6" t="inlineStr">
        <is>
          <t>2032 Puyazo Gold</t>
        </is>
      </c>
      <c r="C6" t="inlineStr">
        <is>
          <t>lb</t>
        </is>
      </c>
      <c r="D6" t="inlineStr">
        <is>
          <t>Insumo Hamburguesa</t>
        </is>
      </c>
      <c r="E6" t="n">
        <v>7.52</v>
      </c>
      <c r="F6" t="b">
        <v>1</v>
      </c>
      <c r="G6" t="b">
        <v>0</v>
      </c>
      <c r="H6" t="n">
        <v>0</v>
      </c>
    </row>
    <row r="7">
      <c r="A7" t="inlineStr">
        <is>
          <t>6b97ab93-966d-49c6-afaa-ead21d1c9b80</t>
        </is>
      </c>
      <c r="B7" t="inlineStr">
        <is>
          <t>228941 Pepinillos</t>
        </is>
      </c>
      <c r="C7" t="inlineStr">
        <is>
          <t>oz</t>
        </is>
      </c>
      <c r="D7" t="inlineStr">
        <is>
          <t>Insumo Hamburguesa</t>
        </is>
      </c>
      <c r="E7" t="n">
        <v>5.74</v>
      </c>
      <c r="F7" t="b">
        <v>1</v>
      </c>
      <c r="G7" t="b">
        <v>0</v>
      </c>
      <c r="H7" t="n">
        <v>0</v>
      </c>
    </row>
    <row r="8">
      <c r="A8" t="inlineStr">
        <is>
          <t>c9d2b671-68b8-46bf-92c3-1ef2a09e8d88</t>
        </is>
      </c>
      <c r="B8" t="inlineStr">
        <is>
          <t>278946 Salsa Inglesa</t>
        </is>
      </c>
      <c r="C8" t="inlineStr">
        <is>
          <t>botella</t>
        </is>
      </c>
      <c r="D8" t="inlineStr">
        <is>
          <t>Insumo Cocina</t>
        </is>
      </c>
      <c r="E8" t="n">
        <v>7.07</v>
      </c>
      <c r="F8" t="b">
        <v>1</v>
      </c>
      <c r="G8" t="b">
        <v>0</v>
      </c>
      <c r="H8" t="n">
        <v>0</v>
      </c>
    </row>
    <row r="9">
      <c r="A9" t="inlineStr">
        <is>
          <t>07869bf2-a1b9-4d03-8faa-6d23f10824b8</t>
        </is>
      </c>
      <c r="B9" t="inlineStr">
        <is>
          <t>30204 Oregano</t>
        </is>
      </c>
      <c r="C9" t="inlineStr">
        <is>
          <t>g</t>
        </is>
      </c>
      <c r="D9" t="inlineStr">
        <is>
          <t>Insumo Cocina</t>
        </is>
      </c>
      <c r="E9" t="n">
        <v>5.12</v>
      </c>
      <c r="F9" t="b">
        <v>1</v>
      </c>
      <c r="G9" t="b">
        <v>0</v>
      </c>
      <c r="H9" t="n">
        <v>0</v>
      </c>
    </row>
    <row r="10">
      <c r="A10" t="inlineStr">
        <is>
          <t>1a82893b-f124-41a8-a8fb-b17480143d3e</t>
        </is>
      </c>
      <c r="B10" t="inlineStr">
        <is>
          <t>325026-MCX03621 MC REDSTONE</t>
        </is>
      </c>
      <c r="C10" t="inlineStr">
        <is>
          <t>Caja</t>
        </is>
      </c>
      <c r="D10" t="inlineStr">
        <is>
          <t>Insumo Papas</t>
        </is>
      </c>
      <c r="E10" t="n">
        <v>38</v>
      </c>
      <c r="F10" t="b">
        <v>1</v>
      </c>
      <c r="G10" t="b">
        <v>0</v>
      </c>
      <c r="H10" t="n">
        <v>0</v>
      </c>
    </row>
    <row r="11">
      <c r="A11" t="inlineStr">
        <is>
          <t>d32fe707-b0de-4c8b-a8ca-037e611294b5</t>
        </is>
      </c>
      <c r="B11" t="inlineStr">
        <is>
          <t>325052-MCF03788 MCC SCP 3 8</t>
        </is>
      </c>
      <c r="C11" t="inlineStr">
        <is>
          <t>Caja</t>
        </is>
      </c>
      <c r="D11" t="inlineStr">
        <is>
          <t>Insumo Extras</t>
        </is>
      </c>
      <c r="E11" t="n">
        <v>38</v>
      </c>
      <c r="F11" t="b">
        <v>1</v>
      </c>
      <c r="G11" t="b">
        <v>0</v>
      </c>
      <c r="H11" t="n">
        <v>0</v>
      </c>
    </row>
    <row r="12">
      <c r="A12" t="inlineStr">
        <is>
          <t>95e81726-03a8-4722-b3bc-a42b347fac7c</t>
        </is>
      </c>
      <c r="B12" t="inlineStr">
        <is>
          <t>326235 Azucar Morena</t>
        </is>
      </c>
      <c r="C12" t="inlineStr">
        <is>
          <t>g</t>
        </is>
      </c>
      <c r="D12" t="inlineStr">
        <is>
          <t>Insumo Extras</t>
        </is>
      </c>
      <c r="E12" t="n">
        <v>7.25</v>
      </c>
      <c r="F12" t="b">
        <v>1</v>
      </c>
      <c r="G12" t="b">
        <v>0</v>
      </c>
      <c r="H12" t="n">
        <v>0</v>
      </c>
    </row>
    <row r="13">
      <c r="A13" t="inlineStr">
        <is>
          <t>0162232b-026d-4e3a-8efd-f62027f500bc</t>
        </is>
      </c>
      <c r="B13" t="inlineStr">
        <is>
          <t>352613 Jalisco</t>
        </is>
      </c>
      <c r="C13" t="inlineStr">
        <is>
          <t>Unidad</t>
        </is>
      </c>
      <c r="D13" t="inlineStr">
        <is>
          <t>Insumo Extras</t>
        </is>
      </c>
      <c r="E13" t="n">
        <v>13.97</v>
      </c>
      <c r="F13" t="b">
        <v>1</v>
      </c>
      <c r="G13" t="b">
        <v>0</v>
      </c>
      <c r="H13" t="n">
        <v>0</v>
      </c>
    </row>
    <row r="14">
      <c r="A14" t="inlineStr">
        <is>
          <t>54f4b398-f14b-4c7d-bda8-0a7547f5d62b</t>
        </is>
      </c>
      <c r="B14" t="inlineStr">
        <is>
          <t>524550 Ajo Granulado</t>
        </is>
      </c>
      <c r="C14" t="inlineStr">
        <is>
          <t>g</t>
        </is>
      </c>
      <c r="D14" t="inlineStr">
        <is>
          <t>Insumo Cocina</t>
        </is>
      </c>
      <c r="E14" t="n">
        <v>7.51</v>
      </c>
      <c r="F14" t="b">
        <v>1</v>
      </c>
      <c r="G14" t="b">
        <v>0</v>
      </c>
      <c r="H14" t="n">
        <v>0</v>
      </c>
    </row>
    <row r="15">
      <c r="A15" t="inlineStr">
        <is>
          <t>d64329ef-fc97-4d97-a737-c044d8c87e8b</t>
        </is>
      </c>
      <c r="B15" t="inlineStr">
        <is>
          <t>535 Gran Onion</t>
        </is>
      </c>
      <c r="C15" t="inlineStr">
        <is>
          <t>g</t>
        </is>
      </c>
      <c r="D15" t="inlineStr">
        <is>
          <t>Insumo Cocina</t>
        </is>
      </c>
      <c r="E15" t="n">
        <v>6.45</v>
      </c>
      <c r="F15" t="b">
        <v>1</v>
      </c>
      <c r="G15" t="b">
        <v>0</v>
      </c>
      <c r="H15" t="n">
        <v>0</v>
      </c>
    </row>
    <row r="16">
      <c r="A16" t="inlineStr">
        <is>
          <t>d1bc1f13-ddd2-4a13-bbbd-3c7ae5d4ae2c</t>
        </is>
      </c>
      <c r="B16" t="inlineStr">
        <is>
          <t>55331 Pimienta Molida</t>
        </is>
      </c>
      <c r="C16" t="inlineStr">
        <is>
          <t>g</t>
        </is>
      </c>
      <c r="D16" t="inlineStr">
        <is>
          <t>Insumo Cocina</t>
        </is>
      </c>
      <c r="E16" t="n">
        <v>7.96</v>
      </c>
      <c r="F16" t="b">
        <v>1</v>
      </c>
      <c r="G16" t="b">
        <v>0</v>
      </c>
      <c r="H16" t="n">
        <v>0</v>
      </c>
    </row>
    <row r="17">
      <c r="A17" t="inlineStr">
        <is>
          <t>eb978497-68b2-4cb6-bd35-8a9017b9aa2c</t>
        </is>
      </c>
      <c r="B17" t="inlineStr">
        <is>
          <t>55334 MS Paprika</t>
        </is>
      </c>
      <c r="C17" t="inlineStr">
        <is>
          <t>g</t>
        </is>
      </c>
      <c r="D17" t="inlineStr">
        <is>
          <t>Insumo Cocina</t>
        </is>
      </c>
      <c r="E17" t="n">
        <v>5.39</v>
      </c>
      <c r="F17" t="b">
        <v>1</v>
      </c>
      <c r="G17" t="b">
        <v>0</v>
      </c>
      <c r="H17" t="n">
        <v>0</v>
      </c>
    </row>
    <row r="18">
      <c r="A18" t="inlineStr">
        <is>
          <t>cead73b7-c90a-493a-9182-c9e01cf9354f</t>
        </is>
      </c>
      <c r="B18" t="inlineStr">
        <is>
          <t>732584 MS large trash bag</t>
        </is>
      </c>
      <c r="C18" t="inlineStr">
        <is>
          <t>unidad</t>
        </is>
      </c>
      <c r="D18" t="inlineStr">
        <is>
          <t>Insumo</t>
        </is>
      </c>
      <c r="E18" t="n">
        <v>23.99</v>
      </c>
      <c r="F18" t="b">
        <v>1</v>
      </c>
      <c r="G18" t="b">
        <v>0</v>
      </c>
      <c r="H18" t="n">
        <v>0</v>
      </c>
    </row>
    <row r="19">
      <c r="A19" t="inlineStr">
        <is>
          <t>ac7e0dfe-e174-445b-ac6d-900c653d95fc</t>
        </is>
      </c>
      <c r="B19" t="inlineStr">
        <is>
          <t>781060 MS Mayo</t>
        </is>
      </c>
      <c r="C19" t="inlineStr">
        <is>
          <t>oz</t>
        </is>
      </c>
      <c r="D19" t="inlineStr">
        <is>
          <t>Insumo Cocina</t>
        </is>
      </c>
      <c r="E19" t="n">
        <v>11.5</v>
      </c>
      <c r="F19" t="b">
        <v>1</v>
      </c>
      <c r="G19" t="b">
        <v>0</v>
      </c>
      <c r="H19" t="n">
        <v>0</v>
      </c>
    </row>
    <row r="20">
      <c r="A20" t="inlineStr">
        <is>
          <t>4ae854a5-396e-4b81-88fb-7d6b86e3458b</t>
        </is>
      </c>
      <c r="B20" t="inlineStr">
        <is>
          <t>921290 Salsa Soya</t>
        </is>
      </c>
      <c r="C20" t="inlineStr">
        <is>
          <t>galón</t>
        </is>
      </c>
      <c r="D20" t="inlineStr">
        <is>
          <t>Insumo Cocina</t>
        </is>
      </c>
      <c r="E20" t="n">
        <v>9.550000000000001</v>
      </c>
      <c r="F20" t="b">
        <v>1</v>
      </c>
      <c r="G20" t="b">
        <v>0</v>
      </c>
      <c r="H20" t="n">
        <v>0</v>
      </c>
    </row>
    <row r="21">
      <c r="A21" t="inlineStr">
        <is>
          <t>edb297ad-ab23-4f80-ab3c-cdc50a8ec505</t>
        </is>
      </c>
      <c r="B21" t="inlineStr">
        <is>
          <t>95816 Mantequilla</t>
        </is>
      </c>
      <c r="C21" t="inlineStr">
        <is>
          <t>g</t>
        </is>
      </c>
      <c r="D21" t="inlineStr">
        <is>
          <t>Insumo Cocina</t>
        </is>
      </c>
      <c r="E21" t="n">
        <v>13</v>
      </c>
      <c r="F21" t="b">
        <v>1</v>
      </c>
      <c r="G21" t="b">
        <v>0</v>
      </c>
      <c r="H21" t="n">
        <v>0</v>
      </c>
    </row>
    <row r="22">
      <c r="A22" t="inlineStr">
        <is>
          <t>0c9f41d1-3212-4578-ab63-e856a67a0351</t>
        </is>
      </c>
      <c r="B22" t="inlineStr">
        <is>
          <t>Aceite Extra Oliva de Trufa BO</t>
        </is>
      </c>
      <c r="C22" t="inlineStr">
        <is>
          <t>ml</t>
        </is>
      </c>
      <c r="D22" t="inlineStr">
        <is>
          <t>Insumo Extras</t>
        </is>
      </c>
      <c r="E22" t="n">
        <v>19.51</v>
      </c>
      <c r="F22" t="b">
        <v>1</v>
      </c>
      <c r="G22" t="b">
        <v>0</v>
      </c>
      <c r="H22" t="n">
        <v>0</v>
      </c>
    </row>
    <row r="23">
      <c r="A23" t="inlineStr">
        <is>
          <t>022c053e-2340-46c6-b4b2-bf543786aadf</t>
        </is>
      </c>
      <c r="B23" t="inlineStr">
        <is>
          <t>Aceite santa clara 18.75L</t>
        </is>
      </c>
      <c r="C23" t="inlineStr">
        <is>
          <t>unidad</t>
        </is>
      </c>
      <c r="D23" t="inlineStr">
        <is>
          <t>Insumo</t>
        </is>
      </c>
      <c r="E23" t="n">
        <v>32.74</v>
      </c>
      <c r="F23" t="b">
        <v>1</v>
      </c>
      <c r="G23" t="b">
        <v>0</v>
      </c>
      <c r="H23" t="n">
        <v>0</v>
      </c>
    </row>
    <row r="24">
      <c r="A24" t="inlineStr">
        <is>
          <t>a5018586-0812-44c1-a939-8586740f25c5</t>
        </is>
      </c>
      <c r="B24" t="inlineStr">
        <is>
          <t>Acido Ascorbico</t>
        </is>
      </c>
      <c r="C24" t="inlineStr">
        <is>
          <t>kg</t>
        </is>
      </c>
      <c r="D24" t="inlineStr">
        <is>
          <t>Insumo Hamburguesa</t>
        </is>
      </c>
      <c r="E24" t="n">
        <v>5.4</v>
      </c>
      <c r="F24" t="b">
        <v>1</v>
      </c>
      <c r="G24" t="b">
        <v>0</v>
      </c>
      <c r="H24" t="n">
        <v>0</v>
      </c>
    </row>
    <row r="25">
      <c r="A25" t="inlineStr">
        <is>
          <t>81b2add8-82a3-4769-8cc1-fb8c5ae10fa8</t>
        </is>
      </c>
      <c r="B25" t="inlineStr">
        <is>
          <t>Aderezo Mayo Redu. Lipidos MC 4*3KG</t>
        </is>
      </c>
      <c r="C25" t="inlineStr">
        <is>
          <t>bolsa</t>
        </is>
      </c>
      <c r="D25" t="inlineStr">
        <is>
          <t>Insumo Papas</t>
        </is>
      </c>
      <c r="E25" t="n">
        <v>8.85</v>
      </c>
      <c r="F25" t="b">
        <v>1</v>
      </c>
      <c r="G25" t="b">
        <v>0</v>
      </c>
      <c r="H25" t="n">
        <v>0</v>
      </c>
    </row>
    <row r="26">
      <c r="A26" t="inlineStr">
        <is>
          <t>64538c5a-189a-4ad8-b34f-8847f6a701af</t>
        </is>
      </c>
      <c r="B26" t="inlineStr">
        <is>
          <t>Adivina la Maraca paquete 20 Unidades</t>
        </is>
      </c>
      <c r="C26" t="inlineStr">
        <is>
          <t>bolsa</t>
        </is>
      </c>
      <c r="D26" t="inlineStr">
        <is>
          <t>Extras</t>
        </is>
      </c>
      <c r="E26" t="n">
        <v>0</v>
      </c>
      <c r="F26" t="b">
        <v>1</v>
      </c>
      <c r="G26" t="b">
        <v>1</v>
      </c>
      <c r="H26" t="n">
        <v>0</v>
      </c>
    </row>
    <row r="27">
      <c r="A27" t="inlineStr">
        <is>
          <t>d8243201-ae6d-4265-98e6-0330c512019a</t>
        </is>
      </c>
      <c r="B27" t="inlineStr">
        <is>
          <t>Aros de cebolla unidad</t>
        </is>
      </c>
      <c r="C27" t="inlineStr">
        <is>
          <t>porcion</t>
        </is>
      </c>
      <c r="D27" t="inlineStr">
        <is>
          <t>Papas y Congelados</t>
        </is>
      </c>
      <c r="E27" t="n">
        <v>0</v>
      </c>
      <c r="F27" t="b">
        <v>1</v>
      </c>
      <c r="G27" t="b">
        <v>1</v>
      </c>
      <c r="H27" t="n">
        <v>0</v>
      </c>
    </row>
    <row r="28">
      <c r="A28" t="inlineStr">
        <is>
          <t>dcecf65c-0597-46d2-a2c2-19fd5833cefe</t>
        </is>
      </c>
      <c r="B28" t="inlineStr">
        <is>
          <t>Asado de Tira Corte Argentino</t>
        </is>
      </c>
      <c r="C28" t="inlineStr">
        <is>
          <t>lb</t>
        </is>
      </c>
      <c r="D28" t="inlineStr">
        <is>
          <t>Insumo Hamburguesa</t>
        </is>
      </c>
      <c r="E28" t="n">
        <v>5</v>
      </c>
      <c r="F28" t="b">
        <v>1</v>
      </c>
      <c r="G28" t="b">
        <v>0</v>
      </c>
      <c r="H28" t="n">
        <v>0</v>
      </c>
    </row>
    <row r="29">
      <c r="A29" t="inlineStr">
        <is>
          <t>c926b311-3c2d-408b-bc45-fb68f4bef813</t>
        </is>
      </c>
      <c r="B29" t="inlineStr">
        <is>
          <t>BBQ caja 4 bolsas</t>
        </is>
      </c>
      <c r="C29" t="inlineStr">
        <is>
          <t>caja</t>
        </is>
      </c>
      <c r="D29" t="inlineStr">
        <is>
          <t>Salsas y Aderezos</t>
        </is>
      </c>
      <c r="E29" t="n">
        <v>0</v>
      </c>
      <c r="F29" t="b">
        <v>1</v>
      </c>
      <c r="G29" t="b">
        <v>1</v>
      </c>
      <c r="H29" t="n">
        <v>0</v>
      </c>
    </row>
    <row r="30">
      <c r="A30" t="inlineStr">
        <is>
          <t>056552f5-7e1f-475e-90f6-e7644818d890</t>
        </is>
      </c>
      <c r="B30" t="inlineStr">
        <is>
          <t>Bandejas Negras 8x5 fardo 200 unidades</t>
        </is>
      </c>
      <c r="C30" t="inlineStr">
        <is>
          <t>fardo</t>
        </is>
      </c>
      <c r="D30" t="inlineStr">
        <is>
          <t>Empaques y Desechables</t>
        </is>
      </c>
      <c r="E30" t="n">
        <v>0</v>
      </c>
      <c r="F30" t="b">
        <v>1</v>
      </c>
      <c r="G30" t="b">
        <v>1</v>
      </c>
      <c r="H30" t="n">
        <v>0</v>
      </c>
    </row>
    <row r="31">
      <c r="A31" t="inlineStr">
        <is>
          <t>e7fc2d6d-fe88-4cda-b760-3ac90ec814e8</t>
        </is>
      </c>
      <c r="B31" t="inlineStr">
        <is>
          <t>Bandejas café caja 500 unidades</t>
        </is>
      </c>
      <c r="C31" t="inlineStr">
        <is>
          <t>caja</t>
        </is>
      </c>
      <c r="D31" t="inlineStr">
        <is>
          <t>Empaques y Desechables</t>
        </is>
      </c>
      <c r="E31" t="n">
        <v>0</v>
      </c>
      <c r="F31" t="b">
        <v>1</v>
      </c>
      <c r="G31" t="b">
        <v>1</v>
      </c>
      <c r="H31" t="n">
        <v>0</v>
      </c>
    </row>
    <row r="32">
      <c r="A32" t="inlineStr">
        <is>
          <t>27ce7f92-379b-4c65-b028-6a5e3644eb8e</t>
        </is>
      </c>
      <c r="B32" t="inlineStr">
        <is>
          <t>Bolsa de 3 libras 7x11 500 unidades</t>
        </is>
      </c>
      <c r="C32" t="inlineStr">
        <is>
          <t>paquete</t>
        </is>
      </c>
      <c r="D32" t="inlineStr">
        <is>
          <t>Empaques y Desechables</t>
        </is>
      </c>
      <c r="E32" t="n">
        <v>0</v>
      </c>
      <c r="F32" t="b">
        <v>1</v>
      </c>
      <c r="G32" t="b">
        <v>1</v>
      </c>
      <c r="H32" t="n">
        <v>0</v>
      </c>
    </row>
    <row r="33">
      <c r="A33" t="inlineStr">
        <is>
          <t>9d225295-bb20-4ccd-9ed3-f8586475e118</t>
        </is>
      </c>
      <c r="B33" t="inlineStr">
        <is>
          <t>Bolsa de 5 libras 9x14 azules 500 unidades</t>
        </is>
      </c>
      <c r="C33" t="inlineStr">
        <is>
          <t>paquete</t>
        </is>
      </c>
      <c r="D33" t="inlineStr">
        <is>
          <t>Empaques y Desechables</t>
        </is>
      </c>
      <c r="E33" t="n">
        <v>0</v>
      </c>
      <c r="F33" t="b">
        <v>1</v>
      </c>
      <c r="G33" t="b">
        <v>1</v>
      </c>
      <c r="H33" t="n">
        <v>0</v>
      </c>
    </row>
    <row r="34">
      <c r="A34" t="inlineStr">
        <is>
          <t>0d384447-afc3-4a76-8fbd-9d6440e6cb93</t>
        </is>
      </c>
      <c r="B34" t="inlineStr">
        <is>
          <t>Bolsa de charamusca 500 unidades</t>
        </is>
      </c>
      <c r="C34" t="inlineStr">
        <is>
          <t>paquete</t>
        </is>
      </c>
      <c r="D34" t="inlineStr">
        <is>
          <t>Empaques y Desechables</t>
        </is>
      </c>
      <c r="E34" t="n">
        <v>0</v>
      </c>
      <c r="F34" t="b">
        <v>1</v>
      </c>
      <c r="G34" t="b">
        <v>1</v>
      </c>
      <c r="H34" t="n">
        <v>0</v>
      </c>
    </row>
    <row r="35">
      <c r="A35" t="inlineStr">
        <is>
          <t>ec528b36-deef-4c00-a7d6-2784da5022f3</t>
        </is>
      </c>
      <c r="B35" t="inlineStr">
        <is>
          <t>Bolsa de gabacha Blanca caja 1000 unidades</t>
        </is>
      </c>
      <c r="C35" t="inlineStr">
        <is>
          <t>caja</t>
        </is>
      </c>
      <c r="D35" t="inlineStr">
        <is>
          <t>Empaques y Desechables</t>
        </is>
      </c>
      <c r="E35" t="n">
        <v>0</v>
      </c>
      <c r="F35" t="b">
        <v>1</v>
      </c>
      <c r="G35" t="b">
        <v>1</v>
      </c>
      <c r="H35" t="n">
        <v>0</v>
      </c>
    </row>
    <row r="36">
      <c r="A36" t="inlineStr">
        <is>
          <t>a947a14d-16b3-4f9d-bd4d-c955c0a74204</t>
        </is>
      </c>
      <c r="B36" t="inlineStr">
        <is>
          <t>Bolsa de hielo 5 lbs</t>
        </is>
      </c>
      <c r="C36" t="inlineStr">
        <is>
          <t>bolsa</t>
        </is>
      </c>
      <c r="D36" t="inlineStr">
        <is>
          <t>Papas y Congelados</t>
        </is>
      </c>
      <c r="E36" t="n">
        <v>0</v>
      </c>
      <c r="F36" t="b">
        <v>1</v>
      </c>
      <c r="G36" t="b">
        <v>1</v>
      </c>
      <c r="H36" t="n">
        <v>0</v>
      </c>
    </row>
    <row r="37">
      <c r="A37" t="inlineStr">
        <is>
          <t>cc5a70c6-4fac-4bd7-9650-50e56094890c</t>
        </is>
      </c>
      <c r="B37" t="inlineStr">
        <is>
          <t>Bolsa transparente para basura caja 500 unidades</t>
        </is>
      </c>
      <c r="C37" t="inlineStr">
        <is>
          <t>caja</t>
        </is>
      </c>
      <c r="D37" t="inlineStr">
        <is>
          <t>Empaques y Desechables</t>
        </is>
      </c>
      <c r="E37" t="n">
        <v>0</v>
      </c>
      <c r="F37" t="b">
        <v>1</v>
      </c>
      <c r="G37" t="b">
        <v>1</v>
      </c>
      <c r="H37" t="n">
        <v>0</v>
      </c>
    </row>
    <row r="38">
      <c r="A38" t="inlineStr">
        <is>
          <t>5407b468-99db-4a82-99cd-efd77c8866dc</t>
        </is>
      </c>
      <c r="B38" t="inlineStr">
        <is>
          <t>Bolsas brandeadas caja 1700 unidades</t>
        </is>
      </c>
      <c r="C38" t="inlineStr">
        <is>
          <t>unidad</t>
        </is>
      </c>
      <c r="D38" t="inlineStr">
        <is>
          <t>Empaques y Desechables</t>
        </is>
      </c>
      <c r="E38" t="n">
        <v>0</v>
      </c>
      <c r="F38" t="b">
        <v>1</v>
      </c>
      <c r="G38" t="b">
        <v>1</v>
      </c>
      <c r="H38" t="n">
        <v>0</v>
      </c>
    </row>
    <row r="39">
      <c r="A39" t="inlineStr">
        <is>
          <t>1be6ddcf-e0e8-49ab-b375-21464b4ad8c4</t>
        </is>
      </c>
      <c r="B39" t="inlineStr">
        <is>
          <t>Bolsas para basura blanca caja 160 unidades</t>
        </is>
      </c>
      <c r="C39" t="inlineStr">
        <is>
          <t>caja</t>
        </is>
      </c>
      <c r="D39" t="inlineStr">
        <is>
          <t>Empaques y Desechables</t>
        </is>
      </c>
      <c r="E39" t="n">
        <v>0</v>
      </c>
      <c r="F39" t="b">
        <v>1</v>
      </c>
      <c r="G39" t="b">
        <v>1</v>
      </c>
      <c r="H39" t="n">
        <v>0</v>
      </c>
    </row>
    <row r="40">
      <c r="A40" t="inlineStr">
        <is>
          <t>b1bd5499-1019-4372-836f-b85ad8c4b0c5</t>
        </is>
      </c>
      <c r="B40" t="inlineStr">
        <is>
          <t>Bolsas para basura negras caja 80 unidades</t>
        </is>
      </c>
      <c r="C40" t="inlineStr">
        <is>
          <t>caja</t>
        </is>
      </c>
      <c r="D40" t="inlineStr">
        <is>
          <t>Empaques y Desechables</t>
        </is>
      </c>
      <c r="E40" t="n">
        <v>0</v>
      </c>
      <c r="F40" t="b">
        <v>1</v>
      </c>
      <c r="G40" t="b">
        <v>1</v>
      </c>
      <c r="H40" t="n">
        <v>0</v>
      </c>
    </row>
    <row r="41">
      <c r="A41" t="inlineStr">
        <is>
          <t>ebed87c7-4e69-489a-98e8-a64a292ebe55</t>
        </is>
      </c>
      <c r="B41" t="inlineStr">
        <is>
          <t>Bonificación Aceite bidón</t>
        </is>
      </c>
      <c r="C41" t="inlineStr">
        <is>
          <t>unidad</t>
        </is>
      </c>
      <c r="D41" t="inlineStr">
        <is>
          <t>Insumo</t>
        </is>
      </c>
      <c r="E41" t="n">
        <v>32.74</v>
      </c>
      <c r="F41" t="b">
        <v>1</v>
      </c>
      <c r="G41" t="b">
        <v>0</v>
      </c>
      <c r="H41" t="n">
        <v>0</v>
      </c>
    </row>
    <row r="42">
      <c r="A42" t="inlineStr">
        <is>
          <t>2f0e07d9-9757-4c60-ad9d-ccd104e5111a</t>
        </is>
      </c>
      <c r="B42" t="inlineStr">
        <is>
          <t>Brisket</t>
        </is>
      </c>
      <c r="C42" t="inlineStr">
        <is>
          <t>lb</t>
        </is>
      </c>
      <c r="D42" t="inlineStr">
        <is>
          <t>Insumo</t>
        </is>
      </c>
      <c r="E42" t="n">
        <v>3.98</v>
      </c>
      <c r="F42" t="b">
        <v>1</v>
      </c>
      <c r="G42" t="b">
        <v>0</v>
      </c>
      <c r="H42" t="n">
        <v>0</v>
      </c>
    </row>
    <row r="43">
      <c r="A43" t="inlineStr">
        <is>
          <t>dbfa4ed5-4e9d-4529-8791-45640538384c</t>
        </is>
      </c>
      <c r="B43" t="inlineStr">
        <is>
          <t>Bulto de repollo</t>
        </is>
      </c>
      <c r="C43" t="inlineStr">
        <is>
          <t>unidad</t>
        </is>
      </c>
      <c r="D43" t="inlineStr">
        <is>
          <t>Insumo</t>
        </is>
      </c>
      <c r="E43" t="n">
        <v>66</v>
      </c>
      <c r="F43" t="b">
        <v>1</v>
      </c>
      <c r="G43" t="b">
        <v>0</v>
      </c>
      <c r="H43" t="n">
        <v>0</v>
      </c>
    </row>
    <row r="44">
      <c r="A44" t="inlineStr">
        <is>
          <t>adfe6b39-0350-474d-80bd-3662da61401d</t>
        </is>
      </c>
      <c r="B44" t="inlineStr">
        <is>
          <t>Cajitas de papas para armar caja 4500 unidades</t>
        </is>
      </c>
      <c r="C44" t="inlineStr">
        <is>
          <t>caja</t>
        </is>
      </c>
      <c r="D44" t="inlineStr">
        <is>
          <t>Empaques y Desechables</t>
        </is>
      </c>
      <c r="E44" t="n">
        <v>0</v>
      </c>
      <c r="F44" t="b">
        <v>1</v>
      </c>
      <c r="G44" t="b">
        <v>1</v>
      </c>
      <c r="H44" t="n">
        <v>0</v>
      </c>
    </row>
    <row r="45">
      <c r="A45" t="inlineStr">
        <is>
          <t>6b3f0a1a-c515-4d31-b04c-6439bd3ce264</t>
        </is>
      </c>
      <c r="B45" t="inlineStr">
        <is>
          <t>Caldo de Res en Polvo</t>
        </is>
      </c>
      <c r="C45" t="inlineStr">
        <is>
          <t>cucharada</t>
        </is>
      </c>
      <c r="D45" t="inlineStr">
        <is>
          <t>Insumo Cocina</t>
        </is>
      </c>
      <c r="E45" t="n">
        <v>0</v>
      </c>
      <c r="F45" t="b">
        <v>1</v>
      </c>
      <c r="G45" t="b">
        <v>0</v>
      </c>
      <c r="H45" t="n">
        <v>0</v>
      </c>
    </row>
    <row r="46">
      <c r="A46" t="inlineStr">
        <is>
          <t>dc013e01-70fd-4950-92a0-b4e53b7cf83c</t>
        </is>
      </c>
      <c r="B46" t="inlineStr">
        <is>
          <t>Carne Boleada</t>
        </is>
      </c>
      <c r="C46" t="inlineStr">
        <is>
          <t>unidad</t>
        </is>
      </c>
      <c r="D46" t="inlineStr">
        <is>
          <t>Sub Producto</t>
        </is>
      </c>
      <c r="E46" t="n">
        <v>0</v>
      </c>
      <c r="F46" t="b">
        <v>1</v>
      </c>
      <c r="G46" t="b">
        <v>0</v>
      </c>
      <c r="H46" t="n">
        <v>0</v>
      </c>
    </row>
    <row r="47">
      <c r="A47" t="inlineStr">
        <is>
          <t>f63f1b39-ad16-4306-883c-4a0fe0db62d2</t>
        </is>
      </c>
      <c r="B47" t="inlineStr">
        <is>
          <t>Carne Molida Fina 75:25 CAB</t>
        </is>
      </c>
      <c r="C47" t="inlineStr">
        <is>
          <t>lb</t>
        </is>
      </c>
      <c r="D47" t="inlineStr">
        <is>
          <t>Insumo Hamburguesa</t>
        </is>
      </c>
      <c r="E47" t="n">
        <v>4.85</v>
      </c>
      <c r="F47" t="b">
        <v>1</v>
      </c>
      <c r="G47" t="b">
        <v>0</v>
      </c>
      <c r="H47" t="n">
        <v>0</v>
      </c>
    </row>
    <row r="48">
      <c r="A48" t="inlineStr">
        <is>
          <t>79513e24-a4fd-4a7c-b117-87c9c899be1e</t>
        </is>
      </c>
      <c r="B48" t="inlineStr">
        <is>
          <t>Carne para hamburguesa</t>
        </is>
      </c>
      <c r="C48" t="inlineStr">
        <is>
          <t>unidad</t>
        </is>
      </c>
      <c r="D48" t="inlineStr">
        <is>
          <t>Carnes y Complementos</t>
        </is>
      </c>
      <c r="E48" t="n">
        <v>0</v>
      </c>
      <c r="F48" t="b">
        <v>1</v>
      </c>
      <c r="G48" t="b">
        <v>1</v>
      </c>
      <c r="H48" t="n">
        <v>0</v>
      </c>
    </row>
    <row r="49">
      <c r="A49" t="inlineStr">
        <is>
          <t>39946903-2b85-46cb-afd1-518df61f847b</t>
        </is>
      </c>
      <c r="B49" t="inlineStr">
        <is>
          <t>Cebolla Blanca</t>
        </is>
      </c>
      <c r="C49" t="inlineStr">
        <is>
          <t>bolsa</t>
        </is>
      </c>
      <c r="D49" t="inlineStr">
        <is>
          <t>Sub Producto</t>
        </is>
      </c>
      <c r="E49" t="n">
        <v>0</v>
      </c>
      <c r="F49" t="b">
        <v>1</v>
      </c>
      <c r="G49" t="b">
        <v>0</v>
      </c>
      <c r="H49" t="n">
        <v>0</v>
      </c>
    </row>
    <row r="50">
      <c r="A50" t="inlineStr">
        <is>
          <t>01c237e6-e235-47ef-86f7-75c3887a4c60</t>
        </is>
      </c>
      <c r="B50" t="inlineStr">
        <is>
          <t>Cebolla Morada</t>
        </is>
      </c>
      <c r="C50" t="inlineStr">
        <is>
          <t>tanda</t>
        </is>
      </c>
      <c r="D50" t="inlineStr">
        <is>
          <t>Sub Producto</t>
        </is>
      </c>
      <c r="E50" t="n">
        <v>0</v>
      </c>
      <c r="F50" t="b">
        <v>1</v>
      </c>
      <c r="G50" t="b">
        <v>0</v>
      </c>
      <c r="H50" t="n">
        <v>0</v>
      </c>
    </row>
    <row r="51">
      <c r="A51" t="inlineStr">
        <is>
          <t>22f96e6d-0986-47e4-83aa-eceffc4983a7</t>
        </is>
      </c>
      <c r="B51" t="inlineStr">
        <is>
          <t>Cebolla Roja</t>
        </is>
      </c>
      <c r="C51" t="inlineStr">
        <is>
          <t>saco</t>
        </is>
      </c>
      <c r="D51" t="inlineStr">
        <is>
          <t>Insumo Hamburguesa</t>
        </is>
      </c>
      <c r="E51" t="n">
        <v>23.01</v>
      </c>
      <c r="F51" t="b">
        <v>1</v>
      </c>
      <c r="G51" t="b">
        <v>0</v>
      </c>
      <c r="H51" t="n">
        <v>0</v>
      </c>
    </row>
    <row r="52">
      <c r="A52" t="inlineStr">
        <is>
          <t>9b7863ce-caf9-4d3e-81cf-b09ac593a9de</t>
        </is>
      </c>
      <c r="B52" t="inlineStr">
        <is>
          <t>Cebolla bolsa</t>
        </is>
      </c>
      <c r="C52" t="inlineStr">
        <is>
          <t>bolsa</t>
        </is>
      </c>
      <c r="D52" t="inlineStr">
        <is>
          <t>Vegetales y Verduras</t>
        </is>
      </c>
      <c r="E52" t="n">
        <v>0</v>
      </c>
      <c r="F52" t="b">
        <v>1</v>
      </c>
      <c r="G52" t="b">
        <v>1</v>
      </c>
      <c r="H52" t="n">
        <v>0</v>
      </c>
    </row>
    <row r="53">
      <c r="A53" t="inlineStr">
        <is>
          <t>8715bcce-c644-4c76-8bd9-8202691a1ffe</t>
        </is>
      </c>
      <c r="B53" t="inlineStr">
        <is>
          <t>Cebolla morada (saco 50 lb)</t>
        </is>
      </c>
      <c r="C53" t="inlineStr">
        <is>
          <t>lb</t>
        </is>
      </c>
      <c r="D53" t="inlineStr">
        <is>
          <t>Insumo Hamburguesa</t>
        </is>
      </c>
      <c r="E53" t="n">
        <v>26.64</v>
      </c>
      <c r="F53" t="b">
        <v>1</v>
      </c>
      <c r="G53" t="b">
        <v>0</v>
      </c>
      <c r="H53" t="n">
        <v>0</v>
      </c>
    </row>
    <row r="54">
      <c r="A54" t="inlineStr">
        <is>
          <t>eb731bbd-75f9-48d4-8cf7-0ab3761beb83</t>
        </is>
      </c>
      <c r="B54" t="inlineStr">
        <is>
          <t>Cebolla morada bolsa 2 lbs</t>
        </is>
      </c>
      <c r="C54" t="inlineStr">
        <is>
          <t>bolsa</t>
        </is>
      </c>
      <c r="D54" t="inlineStr">
        <is>
          <t>Vegetales y Verduras</t>
        </is>
      </c>
      <c r="E54" t="n">
        <v>0</v>
      </c>
      <c r="F54" t="b">
        <v>1</v>
      </c>
      <c r="G54" t="b">
        <v>1</v>
      </c>
      <c r="H54" t="n">
        <v>0</v>
      </c>
    </row>
    <row r="55">
      <c r="A55" t="inlineStr">
        <is>
          <t>ecefa37d-e2df-4564-9e97-635c4eab9805</t>
        </is>
      </c>
      <c r="B55" t="inlineStr">
        <is>
          <t>Cheddar Lata</t>
        </is>
      </c>
      <c r="C55" t="inlineStr">
        <is>
          <t>lata</t>
        </is>
      </c>
      <c r="D55" t="inlineStr">
        <is>
          <t>Salsas y Aderezos</t>
        </is>
      </c>
      <c r="E55" t="n">
        <v>0</v>
      </c>
      <c r="F55" t="b">
        <v>1</v>
      </c>
      <c r="H55" t="n">
        <v>0</v>
      </c>
    </row>
    <row r="56">
      <c r="A56" t="inlineStr">
        <is>
          <t>648e4f72-c088-44dd-8984-fe3f307b9bfa</t>
        </is>
      </c>
      <c r="B56" t="inlineStr">
        <is>
          <t>Cheddar Porcionado</t>
        </is>
      </c>
      <c r="C56" t="inlineStr">
        <is>
          <t>bolsa</t>
        </is>
      </c>
      <c r="D56" t="inlineStr">
        <is>
          <t>Sub Producto</t>
        </is>
      </c>
      <c r="E56" t="n">
        <v>0</v>
      </c>
      <c r="F56" t="b">
        <v>1</v>
      </c>
      <c r="G56" t="b">
        <v>1</v>
      </c>
      <c r="H56" t="n">
        <v>0</v>
      </c>
    </row>
    <row r="57">
      <c r="A57" t="inlineStr">
        <is>
          <t>95c10e30-287e-465e-b3f2-0b66c121ce7d</t>
        </is>
      </c>
      <c r="B57" t="inlineStr">
        <is>
          <t>Chile Chipotle Adobado 24/380 GR</t>
        </is>
      </c>
      <c r="C57" t="inlineStr">
        <is>
          <t>lata</t>
        </is>
      </c>
      <c r="D57" t="inlineStr">
        <is>
          <t>Insumo Extras</t>
        </is>
      </c>
      <c r="E57" t="n">
        <v>2.43</v>
      </c>
      <c r="F57" t="b">
        <v>1</v>
      </c>
      <c r="G57" t="b">
        <v>0</v>
      </c>
      <c r="H57" t="n">
        <v>0</v>
      </c>
    </row>
    <row r="58">
      <c r="A58" t="inlineStr">
        <is>
          <t>a017d502-86e0-49ab-b830-fe9bfaa50524</t>
        </is>
      </c>
      <c r="B58" t="inlineStr">
        <is>
          <t>Chile Molido</t>
        </is>
      </c>
      <c r="C58" t="inlineStr">
        <is>
          <t>cucharada</t>
        </is>
      </c>
      <c r="D58" t="inlineStr">
        <is>
          <t>Insumo Cocina</t>
        </is>
      </c>
      <c r="E58" t="n">
        <v>0</v>
      </c>
      <c r="F58" t="b">
        <v>1</v>
      </c>
      <c r="G58" t="b">
        <v>0</v>
      </c>
      <c r="H58" t="n">
        <v>0</v>
      </c>
    </row>
    <row r="59">
      <c r="A59" t="inlineStr">
        <is>
          <t>00033f61-8d22-4e1d-ac18-bd338c9cfdb6</t>
        </is>
      </c>
      <c r="B59" t="inlineStr">
        <is>
          <t>Chile Verde Mercado</t>
        </is>
      </c>
      <c r="C59" t="inlineStr">
        <is>
          <t>Unidad</t>
        </is>
      </c>
      <c r="D59" t="inlineStr">
        <is>
          <t>Insumo Cocina</t>
        </is>
      </c>
      <c r="E59" t="n">
        <v>0.88</v>
      </c>
      <c r="F59" t="b">
        <v>1</v>
      </c>
      <c r="G59" t="b">
        <v>0</v>
      </c>
      <c r="H59" t="n">
        <v>0</v>
      </c>
    </row>
    <row r="60">
      <c r="A60" t="inlineStr">
        <is>
          <t>a3b30e67-8a47-492f-a300-5678043f6843</t>
        </is>
      </c>
      <c r="B60" t="inlineStr">
        <is>
          <t>Chile verde</t>
        </is>
      </c>
      <c r="C60" t="inlineStr">
        <is>
          <t>unidad</t>
        </is>
      </c>
      <c r="D60" t="inlineStr">
        <is>
          <t>Insumo</t>
        </is>
      </c>
      <c r="E60" t="n">
        <v>5</v>
      </c>
      <c r="F60" t="b">
        <v>1</v>
      </c>
      <c r="G60" t="b">
        <v>0</v>
      </c>
      <c r="H60" t="n">
        <v>0</v>
      </c>
    </row>
    <row r="61">
      <c r="A61" t="inlineStr">
        <is>
          <t>18aa0ec1-5ee5-4af9-a429-ef30e8fcc582</t>
        </is>
      </c>
      <c r="B61" t="inlineStr">
        <is>
          <t>Chili bolsa</t>
        </is>
      </c>
      <c r="C61" t="inlineStr">
        <is>
          <t>bolsa</t>
        </is>
      </c>
      <c r="D61" t="inlineStr">
        <is>
          <t>Carnes y Complementos</t>
        </is>
      </c>
      <c r="E61" t="n">
        <v>0</v>
      </c>
      <c r="F61" t="b">
        <v>1</v>
      </c>
      <c r="G61" t="b">
        <v>1</v>
      </c>
      <c r="H61" t="n">
        <v>0</v>
      </c>
    </row>
    <row r="62">
      <c r="A62" t="inlineStr">
        <is>
          <t>c3e6a382-6d74-4502-9fda-2845058a4f7a</t>
        </is>
      </c>
      <c r="B62" t="inlineStr">
        <is>
          <t>Chipotle bolsa</t>
        </is>
      </c>
      <c r="C62" t="inlineStr">
        <is>
          <t>bolsa</t>
        </is>
      </c>
      <c r="D62" t="inlineStr">
        <is>
          <t>Salsas y Aderezos</t>
        </is>
      </c>
      <c r="E62" t="n">
        <v>0</v>
      </c>
      <c r="F62" t="b">
        <v>1</v>
      </c>
      <c r="G62" t="b">
        <v>1</v>
      </c>
      <c r="H62" t="n">
        <v>0</v>
      </c>
    </row>
    <row r="63">
      <c r="A63" t="inlineStr">
        <is>
          <t>4c557728-6e30-4fd1-b49b-7774caf86c2f</t>
        </is>
      </c>
      <c r="B63" t="inlineStr">
        <is>
          <t>Cilantro badia bote 99.2 gr</t>
        </is>
      </c>
      <c r="C63" t="inlineStr">
        <is>
          <t>bote</t>
        </is>
      </c>
      <c r="D63" t="inlineStr">
        <is>
          <t>Salsas y Aderezos</t>
        </is>
      </c>
      <c r="E63" t="n">
        <v>0</v>
      </c>
      <c r="F63" t="b">
        <v>1</v>
      </c>
      <c r="G63" t="b">
        <v>1</v>
      </c>
      <c r="H63" t="n">
        <v>0</v>
      </c>
    </row>
    <row r="64">
      <c r="A64" t="inlineStr">
        <is>
          <t>779f3719-bf02-46a5-935d-3ce0763cbffe</t>
        </is>
      </c>
      <c r="B64" t="inlineStr">
        <is>
          <t>Cocoa en Polvo</t>
        </is>
      </c>
      <c r="C64" t="inlineStr">
        <is>
          <t>cucharadita</t>
        </is>
      </c>
      <c r="D64" t="inlineStr">
        <is>
          <t>Insumo Cocina</t>
        </is>
      </c>
      <c r="E64" t="n">
        <v>0</v>
      </c>
      <c r="F64" t="b">
        <v>1</v>
      </c>
      <c r="G64" t="b">
        <v>0</v>
      </c>
      <c r="H64" t="n">
        <v>0</v>
      </c>
    </row>
    <row r="65">
      <c r="A65" t="inlineStr">
        <is>
          <t>81106def-30cf-4d21-aa99-d3e1c191adb7</t>
        </is>
      </c>
      <c r="B65" t="inlineStr">
        <is>
          <t>Comino Molido</t>
        </is>
      </c>
      <c r="C65" t="inlineStr">
        <is>
          <t>cucharadita</t>
        </is>
      </c>
      <c r="D65" t="inlineStr">
        <is>
          <t>Insumo Cocina</t>
        </is>
      </c>
      <c r="E65" t="n">
        <v>0</v>
      </c>
      <c r="F65" t="b">
        <v>1</v>
      </c>
      <c r="G65" t="b">
        <v>0</v>
      </c>
      <c r="H65" t="n">
        <v>0</v>
      </c>
    </row>
    <row r="66">
      <c r="A66" t="inlineStr">
        <is>
          <t>1f99c20e-61e2-4cfc-a36b-0dd62f23d511</t>
        </is>
      </c>
      <c r="B66" t="inlineStr">
        <is>
          <t>Coronitas adivina la marca paquete 200 unidades</t>
        </is>
      </c>
      <c r="C66" t="inlineStr">
        <is>
          <t>paquete</t>
        </is>
      </c>
      <c r="D66" t="inlineStr">
        <is>
          <t>Extras</t>
        </is>
      </c>
      <c r="E66" t="n">
        <v>0</v>
      </c>
      <c r="F66" t="b">
        <v>1</v>
      </c>
      <c r="G66" t="b">
        <v>1</v>
      </c>
      <c r="H66" t="n">
        <v>0</v>
      </c>
    </row>
    <row r="67">
      <c r="A67" t="inlineStr">
        <is>
          <t>0e5d7b7f-ae11-4a96-a0c7-883b719d4e60</t>
        </is>
      </c>
      <c r="B67" t="inlineStr">
        <is>
          <t>Costilla Sparib</t>
        </is>
      </c>
      <c r="C67" t="inlineStr">
        <is>
          <t>lb</t>
        </is>
      </c>
      <c r="D67" t="inlineStr">
        <is>
          <t>Carnes</t>
        </is>
      </c>
      <c r="E67" t="n">
        <v>2.77</v>
      </c>
      <c r="F67" t="b">
        <v>1</v>
      </c>
      <c r="G67" t="b">
        <v>0</v>
      </c>
      <c r="H67" t="n">
        <v>0</v>
      </c>
    </row>
    <row r="68">
      <c r="A68" t="inlineStr">
        <is>
          <t>382326f7-4cc7-47d7-8fa7-b1482ef92be4</t>
        </is>
      </c>
      <c r="B68" t="inlineStr">
        <is>
          <t>Cuchara pequeña paquete 24 bolsitas</t>
        </is>
      </c>
      <c r="C68" t="inlineStr">
        <is>
          <t>paquete</t>
        </is>
      </c>
      <c r="D68" t="inlineStr">
        <is>
          <t>Empaques y Desechables</t>
        </is>
      </c>
      <c r="E68" t="n">
        <v>0</v>
      </c>
      <c r="F68" t="b">
        <v>1</v>
      </c>
      <c r="G68" t="b">
        <v>1</v>
      </c>
      <c r="H68" t="n">
        <v>0</v>
      </c>
    </row>
    <row r="69">
      <c r="A69" t="inlineStr">
        <is>
          <t>90224b72-5eb4-4092-bfa7-4dd3c96a32ee</t>
        </is>
      </c>
      <c r="B69" t="inlineStr">
        <is>
          <t>Culotte Americano</t>
        </is>
      </c>
      <c r="C69" t="inlineStr">
        <is>
          <t>lb</t>
        </is>
      </c>
      <c r="D69" t="inlineStr">
        <is>
          <t>Carnes</t>
        </is>
      </c>
      <c r="E69" t="n">
        <v>10</v>
      </c>
      <c r="F69" t="b">
        <v>1</v>
      </c>
      <c r="G69" t="b">
        <v>0</v>
      </c>
      <c r="H69" t="n">
        <v>0</v>
      </c>
    </row>
    <row r="70">
      <c r="A70" t="inlineStr">
        <is>
          <t>8f39305d-21ec-4385-9969-2ba7b28f3fef</t>
        </is>
      </c>
      <c r="B70" t="inlineStr">
        <is>
          <t>Cups de Chili caja 1000 piezas</t>
        </is>
      </c>
      <c r="C70" t="inlineStr">
        <is>
          <t>caja</t>
        </is>
      </c>
      <c r="D70" t="inlineStr">
        <is>
          <t>Empaques y Desechables</t>
        </is>
      </c>
      <c r="E70" t="n">
        <v>0</v>
      </c>
      <c r="F70" t="b">
        <v>1</v>
      </c>
      <c r="G70" t="b">
        <v>1</v>
      </c>
      <c r="H70" t="n">
        <v>0</v>
      </c>
    </row>
    <row r="71">
      <c r="A71" t="inlineStr">
        <is>
          <t>9cfcfb75-8938-4a83-af1a-4fa83ecac54e</t>
        </is>
      </c>
      <c r="B71" t="inlineStr">
        <is>
          <t>Cups de Tocino caja 1000 piezas</t>
        </is>
      </c>
      <c r="C71" t="inlineStr">
        <is>
          <t>caja</t>
        </is>
      </c>
      <c r="D71" t="inlineStr">
        <is>
          <t>Empaques y Desechables</t>
        </is>
      </c>
      <c r="E71" t="n">
        <v>0</v>
      </c>
      <c r="F71" t="b">
        <v>1</v>
      </c>
      <c r="G71" t="b">
        <v>1</v>
      </c>
      <c r="H71" t="n">
        <v>0</v>
      </c>
    </row>
    <row r="72">
      <c r="A72" t="inlineStr">
        <is>
          <t>f971739b-df59-4c18-a9ad-97bb40d28b69</t>
        </is>
      </c>
      <c r="B72" t="inlineStr">
        <is>
          <t>Escabeche bolsa</t>
        </is>
      </c>
      <c r="C72" t="inlineStr">
        <is>
          <t>bolsa</t>
        </is>
      </c>
      <c r="D72" t="inlineStr">
        <is>
          <t>Vegetales y Verduras</t>
        </is>
      </c>
      <c r="E72" t="n">
        <v>0</v>
      </c>
      <c r="F72" t="b">
        <v>1</v>
      </c>
      <c r="G72" t="b">
        <v>1</v>
      </c>
      <c r="H72" t="n">
        <v>0</v>
      </c>
    </row>
    <row r="73">
      <c r="A73" t="inlineStr">
        <is>
          <t>f5c444fa-07de-49eb-bfed-346e23e1afe6</t>
        </is>
      </c>
      <c r="B73" t="inlineStr">
        <is>
          <t>FOOD FILM 18" X 2000 FT PVC</t>
        </is>
      </c>
      <c r="C73" t="inlineStr">
        <is>
          <t>unidad</t>
        </is>
      </c>
      <c r="D73" t="inlineStr">
        <is>
          <t>INSUMO</t>
        </is>
      </c>
      <c r="E73" t="n">
        <v>14.5</v>
      </c>
      <c r="F73" t="b">
        <v>1</v>
      </c>
      <c r="G73" t="b">
        <v>0</v>
      </c>
      <c r="H73" t="n">
        <v>0</v>
      </c>
    </row>
    <row r="74">
      <c r="A74" t="inlineStr">
        <is>
          <t>af40aa09-9e3e-4e60-be6b-ac476ae84ff3</t>
        </is>
      </c>
      <c r="B74" t="inlineStr">
        <is>
          <t>Fancy</t>
        </is>
      </c>
      <c r="C74" t="inlineStr">
        <is>
          <t>porcion</t>
        </is>
      </c>
      <c r="D74" t="inlineStr">
        <is>
          <t>Sub Producto</t>
        </is>
      </c>
      <c r="E74" t="n">
        <v>0</v>
      </c>
      <c r="F74" t="b">
        <v>1</v>
      </c>
      <c r="G74" t="b">
        <v>0</v>
      </c>
      <c r="H74" t="n">
        <v>0</v>
      </c>
    </row>
    <row r="75">
      <c r="A75" t="inlineStr">
        <is>
          <t>44db60e9-0b3b-4f84-959e-cbd1f7df5e9b</t>
        </is>
      </c>
      <c r="B75" t="inlineStr">
        <is>
          <t>Fancys unidad</t>
        </is>
      </c>
      <c r="C75" t="inlineStr">
        <is>
          <t>unidad</t>
        </is>
      </c>
      <c r="D75" t="inlineStr">
        <is>
          <t>Papas y Congelados</t>
        </is>
      </c>
      <c r="E75" t="n">
        <v>0</v>
      </c>
      <c r="F75" t="b">
        <v>1</v>
      </c>
      <c r="G75" t="b">
        <v>0</v>
      </c>
      <c r="H75" t="n">
        <v>0</v>
      </c>
    </row>
    <row r="76">
      <c r="A76" t="inlineStr">
        <is>
          <t>70efc781-6e75-4ecf-9dc4-162d211ece5d</t>
        </is>
      </c>
      <c r="B76" t="inlineStr">
        <is>
          <t>Glutamato Monosodico</t>
        </is>
      </c>
      <c r="C76" t="inlineStr">
        <is>
          <t>g</t>
        </is>
      </c>
      <c r="D76" t="inlineStr">
        <is>
          <t>Insumo Hamburguesa</t>
        </is>
      </c>
      <c r="E76" t="n">
        <v>8.369999999999999</v>
      </c>
      <c r="F76" t="b">
        <v>1</v>
      </c>
      <c r="G76" t="b">
        <v>0</v>
      </c>
      <c r="H76" t="n">
        <v>0</v>
      </c>
    </row>
    <row r="77">
      <c r="A77" t="inlineStr">
        <is>
          <t>953a0e3a-71c3-4120-afc8-ee9b8ed05559</t>
        </is>
      </c>
      <c r="B77" t="inlineStr">
        <is>
          <t>Gomitas de hamburguesas caja 24 unidades</t>
        </is>
      </c>
      <c r="C77" t="inlineStr">
        <is>
          <t>unidad</t>
        </is>
      </c>
      <c r="D77" t="inlineStr">
        <is>
          <t>Extras</t>
        </is>
      </c>
      <c r="E77" t="n">
        <v>0</v>
      </c>
      <c r="F77" t="b">
        <v>1</v>
      </c>
      <c r="G77" t="b">
        <v>1</v>
      </c>
      <c r="H77" t="n">
        <v>0</v>
      </c>
    </row>
    <row r="78">
      <c r="A78" t="inlineStr">
        <is>
          <t>6c586c9a-edc9-4975-a54a-44725377fba8</t>
        </is>
      </c>
      <c r="B78" t="inlineStr">
        <is>
          <t>Grasa de Res Corte Argentino</t>
        </is>
      </c>
      <c r="C78" t="inlineStr">
        <is>
          <t>lb</t>
        </is>
      </c>
      <c r="D78" t="inlineStr">
        <is>
          <t>Insumo Hamburguesa</t>
        </is>
      </c>
      <c r="E78" t="n">
        <v>1.19</v>
      </c>
      <c r="F78" t="b">
        <v>1</v>
      </c>
      <c r="G78" t="b">
        <v>0</v>
      </c>
      <c r="H78" t="n">
        <v>0</v>
      </c>
    </row>
    <row r="79">
      <c r="A79" t="inlineStr">
        <is>
          <t>7b9a7a95-d3ab-48e4-aabe-547d67fe6361</t>
        </is>
      </c>
      <c r="B79" t="inlineStr">
        <is>
          <t>Grasa para plancha</t>
        </is>
      </c>
      <c r="C79" t="inlineStr">
        <is>
          <t>unidad</t>
        </is>
      </c>
      <c r="D79" t="inlineStr">
        <is>
          <t>Carnes y Complementos</t>
        </is>
      </c>
      <c r="E79" t="n">
        <v>0</v>
      </c>
      <c r="F79" t="b">
        <v>1</v>
      </c>
      <c r="G79" t="b">
        <v>1</v>
      </c>
      <c r="H79" t="n">
        <v>0</v>
      </c>
    </row>
    <row r="80">
      <c r="A80" t="inlineStr">
        <is>
          <t>abbe08d0-38ee-4672-bbc9-d1b5941961f2</t>
        </is>
      </c>
      <c r="B80" t="inlineStr">
        <is>
          <t>Guante de nitrilo sin talco L</t>
        </is>
      </c>
      <c r="C80" t="inlineStr">
        <is>
          <t>unidad</t>
        </is>
      </c>
      <c r="D80" t="inlineStr">
        <is>
          <t>Insumo</t>
        </is>
      </c>
      <c r="E80" t="n">
        <v>4.42</v>
      </c>
      <c r="F80" t="b">
        <v>1</v>
      </c>
      <c r="G80" t="b">
        <v>0</v>
      </c>
      <c r="H80" t="n">
        <v>0</v>
      </c>
    </row>
    <row r="81">
      <c r="A81" t="inlineStr">
        <is>
          <t>54432bb8-5568-45a1-ab46-fe9a2a983605</t>
        </is>
      </c>
      <c r="B81" t="inlineStr">
        <is>
          <t>Guante de nitrilo sin talco M</t>
        </is>
      </c>
      <c r="C81" t="inlineStr">
        <is>
          <t>unidad</t>
        </is>
      </c>
      <c r="D81" t="inlineStr">
        <is>
          <t>Insumo</t>
        </is>
      </c>
      <c r="E81" t="n">
        <v>4.42</v>
      </c>
      <c r="F81" t="b">
        <v>1</v>
      </c>
      <c r="G81" t="b">
        <v>0</v>
      </c>
      <c r="H81" t="n">
        <v>0</v>
      </c>
    </row>
    <row r="82">
      <c r="A82" t="inlineStr">
        <is>
          <t>6da2e350-339d-44c5-b9da-7cb6613f010a</t>
        </is>
      </c>
      <c r="B82" t="inlineStr">
        <is>
          <t>Guante de nitrilo sin talco S</t>
        </is>
      </c>
      <c r="C82" t="inlineStr">
        <is>
          <t>unidad</t>
        </is>
      </c>
      <c r="D82" t="inlineStr">
        <is>
          <t>Insumo</t>
        </is>
      </c>
      <c r="E82" t="n">
        <v>4.42</v>
      </c>
      <c r="F82" t="b">
        <v>1</v>
      </c>
      <c r="G82" t="b">
        <v>0</v>
      </c>
      <c r="H82" t="n">
        <v>0</v>
      </c>
    </row>
    <row r="83">
      <c r="A83" t="inlineStr">
        <is>
          <t>4e5c73cf-1375-4d00-a206-4f599a6b9ead</t>
        </is>
      </c>
      <c r="B83" t="inlineStr">
        <is>
          <t>Guantes Talla L caja 100 unidades</t>
        </is>
      </c>
      <c r="C83" t="inlineStr">
        <is>
          <t>caja</t>
        </is>
      </c>
      <c r="D83" t="inlineStr">
        <is>
          <t>Empaques y Desechables</t>
        </is>
      </c>
      <c r="E83" t="n">
        <v>0</v>
      </c>
      <c r="F83" t="b">
        <v>1</v>
      </c>
      <c r="G83" t="b">
        <v>1</v>
      </c>
      <c r="H83" t="n">
        <v>0</v>
      </c>
    </row>
    <row r="84">
      <c r="A84" t="inlineStr">
        <is>
          <t>e3cddb3b-b901-4fe0-a47f-4281cdf6855b</t>
        </is>
      </c>
      <c r="B84" t="inlineStr">
        <is>
          <t>Guantes Talla M caja 100 unidades</t>
        </is>
      </c>
      <c r="C84" t="inlineStr">
        <is>
          <t>caja</t>
        </is>
      </c>
      <c r="D84" t="inlineStr">
        <is>
          <t>Empaques y Desechables</t>
        </is>
      </c>
      <c r="E84" t="n">
        <v>0</v>
      </c>
      <c r="F84" t="b">
        <v>1</v>
      </c>
      <c r="G84" t="b">
        <v>1</v>
      </c>
      <c r="H84" t="n">
        <v>0</v>
      </c>
    </row>
    <row r="85">
      <c r="A85" t="inlineStr">
        <is>
          <t>8fd14c04-60f3-4ed8-9633-37f3801370e6</t>
        </is>
      </c>
      <c r="B85" t="inlineStr">
        <is>
          <t>Guantes Talla S caja 100 unidades</t>
        </is>
      </c>
      <c r="C85" t="inlineStr">
        <is>
          <t>caja</t>
        </is>
      </c>
      <c r="D85" t="inlineStr">
        <is>
          <t>Empaques y Desechables</t>
        </is>
      </c>
      <c r="E85" t="n">
        <v>0</v>
      </c>
      <c r="F85" t="b">
        <v>1</v>
      </c>
      <c r="G85" t="b">
        <v>1</v>
      </c>
      <c r="H85" t="n">
        <v>0</v>
      </c>
    </row>
    <row r="86">
      <c r="A86" t="inlineStr">
        <is>
          <t>7ebe6802-c1d0-472a-9dd3-ca8a1bd3c797</t>
        </is>
      </c>
      <c r="B86" t="inlineStr">
        <is>
          <t>Hunts diced tomatoes 14.5 oz</t>
        </is>
      </c>
      <c r="C86" t="inlineStr">
        <is>
          <t>unidad</t>
        </is>
      </c>
      <c r="D86" t="inlineStr">
        <is>
          <t>Insumo</t>
        </is>
      </c>
      <c r="E86" t="n">
        <v>11.99</v>
      </c>
      <c r="F86" t="b">
        <v>1</v>
      </c>
      <c r="G86" t="b">
        <v>0</v>
      </c>
      <c r="H86" t="n">
        <v>0</v>
      </c>
    </row>
    <row r="87">
      <c r="A87" t="inlineStr">
        <is>
          <t>d6798d04-3c04-42d8-b88b-6d43a40c6578</t>
        </is>
      </c>
      <c r="B87" t="inlineStr">
        <is>
          <t>I+G Inosinato Guanilato</t>
        </is>
      </c>
      <c r="C87" t="inlineStr">
        <is>
          <t>g</t>
        </is>
      </c>
      <c r="D87" t="inlineStr">
        <is>
          <t>Insumo Cocina</t>
        </is>
      </c>
      <c r="E87" t="n">
        <v>0</v>
      </c>
      <c r="F87" t="b">
        <v>1</v>
      </c>
      <c r="G87" t="b">
        <v>0</v>
      </c>
      <c r="H87" t="n">
        <v>0</v>
      </c>
    </row>
    <row r="88">
      <c r="A88" t="inlineStr">
        <is>
          <t>1a4ae17d-553b-49c8-85b3-8241f9e88a7c</t>
        </is>
      </c>
      <c r="B88" t="inlineStr">
        <is>
          <t xml:space="preserve">Jalapeño en escabeche </t>
        </is>
      </c>
      <c r="C88" t="inlineStr">
        <is>
          <t>porcion</t>
        </is>
      </c>
      <c r="D88" t="inlineStr">
        <is>
          <t>Sub Producto</t>
        </is>
      </c>
      <c r="E88" t="n">
        <v>0</v>
      </c>
      <c r="F88" t="b">
        <v>1</v>
      </c>
      <c r="G88" t="b">
        <v>0</v>
      </c>
      <c r="H88" t="n">
        <v>0</v>
      </c>
    </row>
    <row r="89">
      <c r="A89" t="inlineStr">
        <is>
          <t>86100c94-2d0f-4893-a27d-0235d79aa596</t>
        </is>
      </c>
      <c r="B89" t="inlineStr">
        <is>
          <t xml:space="preserve">Jalapeño en escabeche </t>
        </is>
      </c>
      <c r="C89" t="inlineStr">
        <is>
          <t>porcion</t>
        </is>
      </c>
      <c r="D89" t="inlineStr">
        <is>
          <t>Sub Producto</t>
        </is>
      </c>
      <c r="E89" t="n">
        <v>0</v>
      </c>
      <c r="F89" t="b">
        <v>1</v>
      </c>
      <c r="G89" t="b">
        <v>0</v>
      </c>
      <c r="H89" t="n">
        <v>0</v>
      </c>
    </row>
    <row r="90">
      <c r="A90" t="inlineStr">
        <is>
          <t>5d664c4c-b25d-4aff-a60a-be0444a726dc</t>
        </is>
      </c>
      <c r="B90" t="inlineStr">
        <is>
          <t>Jalapeños bote</t>
        </is>
      </c>
      <c r="C90" t="inlineStr">
        <is>
          <t>oz</t>
        </is>
      </c>
      <c r="D90" t="inlineStr">
        <is>
          <t>Vegetales y Verduras</t>
        </is>
      </c>
      <c r="E90" t="n">
        <v>0</v>
      </c>
      <c r="F90" t="b">
        <v>1</v>
      </c>
      <c r="G90" t="b">
        <v>1</v>
      </c>
      <c r="H90" t="n">
        <v>0</v>
      </c>
    </row>
    <row r="91">
      <c r="A91" t="inlineStr">
        <is>
          <t>2bc865f0-e8ab-4e0e-a00c-c158f23e7d5d</t>
        </is>
      </c>
      <c r="B91" t="inlineStr">
        <is>
          <t>Jugo de Limon</t>
        </is>
      </c>
      <c r="C91" t="inlineStr">
        <is>
          <t>unidad</t>
        </is>
      </c>
      <c r="D91" t="inlineStr">
        <is>
          <t>Insumo Extras</t>
        </is>
      </c>
      <c r="E91" t="n">
        <v>0</v>
      </c>
      <c r="F91" t="b">
        <v>1</v>
      </c>
      <c r="G91" t="b">
        <v>0</v>
      </c>
      <c r="H91" t="n">
        <v>0</v>
      </c>
    </row>
    <row r="92">
      <c r="A92" t="inlineStr">
        <is>
          <t>70bcfaed-fdcd-4c48-a9c2-b5dd57d13653</t>
        </is>
      </c>
      <c r="B92" t="inlineStr">
        <is>
          <t>Ketchup MC Cormick Portion Pack 1000/8g</t>
        </is>
      </c>
      <c r="C92" t="inlineStr">
        <is>
          <t>sobre</t>
        </is>
      </c>
      <c r="D92" t="inlineStr">
        <is>
          <t>Insumo Papas</t>
        </is>
      </c>
      <c r="E92" t="n">
        <v>23.91</v>
      </c>
      <c r="F92" t="b">
        <v>1</v>
      </c>
      <c r="G92" t="b">
        <v>0</v>
      </c>
      <c r="H92" t="n">
        <v>0</v>
      </c>
    </row>
    <row r="93">
      <c r="A93" t="inlineStr">
        <is>
          <t>4f47cd15-36fe-452d-a9d5-b0530c14feeb</t>
        </is>
      </c>
      <c r="B93" t="inlineStr">
        <is>
          <t>Ketchup caja 1000 sobres</t>
        </is>
      </c>
      <c r="C93" t="inlineStr">
        <is>
          <t>caja</t>
        </is>
      </c>
      <c r="D93" t="inlineStr">
        <is>
          <t>Salsas y Aderezos</t>
        </is>
      </c>
      <c r="E93" t="n">
        <v>0</v>
      </c>
      <c r="F93" t="b">
        <v>1</v>
      </c>
      <c r="G93" t="b">
        <v>1</v>
      </c>
      <c r="H93" t="n">
        <v>0</v>
      </c>
    </row>
    <row r="94">
      <c r="A94" t="inlineStr">
        <is>
          <t>79752afe-bd6d-4260-8d1e-5917dfebbb45</t>
        </is>
      </c>
      <c r="B94" t="inlineStr">
        <is>
          <t>LECHUGA</t>
        </is>
      </c>
      <c r="C94" t="inlineStr">
        <is>
          <t>unidad</t>
        </is>
      </c>
      <c r="D94" t="inlineStr">
        <is>
          <t>INSUMO</t>
        </is>
      </c>
      <c r="E94" t="n">
        <v>3.88</v>
      </c>
      <c r="F94" t="b">
        <v>1</v>
      </c>
      <c r="G94" t="b">
        <v>1</v>
      </c>
      <c r="H94" t="n">
        <v>0</v>
      </c>
    </row>
    <row r="95">
      <c r="A95" t="inlineStr">
        <is>
          <t>03743420-b160-4bc2-99c9-30c16274c28c</t>
        </is>
      </c>
      <c r="B95" t="inlineStr">
        <is>
          <t>Limones</t>
        </is>
      </c>
      <c r="C95" t="inlineStr">
        <is>
          <t>unidad</t>
        </is>
      </c>
      <c r="D95" t="inlineStr">
        <is>
          <t>Insumo</t>
        </is>
      </c>
      <c r="E95" t="n">
        <v>3.5</v>
      </c>
      <c r="F95" t="b">
        <v>1</v>
      </c>
      <c r="G95" t="b">
        <v>0</v>
      </c>
      <c r="H95" t="n">
        <v>0</v>
      </c>
    </row>
    <row r="96">
      <c r="A96" t="inlineStr">
        <is>
          <t>97fa7f8c-e0e3-47b4-9163-9697cc3708e1</t>
        </is>
      </c>
      <c r="B96" t="inlineStr">
        <is>
          <t>Lk max-20 lts</t>
        </is>
      </c>
      <c r="C96" t="inlineStr">
        <is>
          <t>litro</t>
        </is>
      </c>
      <c r="D96" t="inlineStr">
        <is>
          <t>Quimico</t>
        </is>
      </c>
      <c r="E96" t="n">
        <v>122.65</v>
      </c>
      <c r="F96" t="b">
        <v>1</v>
      </c>
      <c r="G96" t="b">
        <v>0</v>
      </c>
      <c r="H96" t="n">
        <v>0</v>
      </c>
    </row>
    <row r="97">
      <c r="A97" t="inlineStr">
        <is>
          <t>b260436c-9a5f-4e51-8c8a-461aee492d7e</t>
        </is>
      </c>
      <c r="B97" t="inlineStr">
        <is>
          <t>M63. New York Café</t>
        </is>
      </c>
      <c r="C97" t="inlineStr">
        <is>
          <t>lb</t>
        </is>
      </c>
      <c r="D97" t="inlineStr">
        <is>
          <t>Carnes</t>
        </is>
      </c>
      <c r="E97" t="n">
        <v>5</v>
      </c>
      <c r="F97" t="b">
        <v>1</v>
      </c>
      <c r="G97" t="b">
        <v>0</v>
      </c>
      <c r="H97" t="n">
        <v>0</v>
      </c>
    </row>
    <row r="98">
      <c r="A98" t="inlineStr">
        <is>
          <t>0679e651-f803-4872-b7db-b27cb6a6d7ef</t>
        </is>
      </c>
      <c r="B98" t="inlineStr">
        <is>
          <t>MQ LAC Procesado Reb AM C 1.4kg/3lb</t>
        </is>
      </c>
      <c r="C98" t="inlineStr">
        <is>
          <t>lb</t>
        </is>
      </c>
      <c r="D98" t="inlineStr">
        <is>
          <t>Insumo Hamburguesa</t>
        </is>
      </c>
      <c r="E98" t="n">
        <v>2.41</v>
      </c>
      <c r="F98" t="b">
        <v>1</v>
      </c>
      <c r="G98" t="b">
        <v>0</v>
      </c>
      <c r="H98" t="n">
        <v>0</v>
      </c>
    </row>
    <row r="99">
      <c r="A99" t="inlineStr">
        <is>
          <t>86e98dba-4b56-42b9-a7ce-3b0a32f6460b</t>
        </is>
      </c>
      <c r="B99" t="inlineStr">
        <is>
          <t>Margarina Country Crock unidad</t>
        </is>
      </c>
      <c r="C99" t="inlineStr">
        <is>
          <t>unidad</t>
        </is>
      </c>
      <c r="D99" t="inlineStr">
        <is>
          <t>Quesos y Lácteos</t>
        </is>
      </c>
      <c r="E99" t="n">
        <v>0</v>
      </c>
      <c r="F99" t="b">
        <v>1</v>
      </c>
      <c r="G99" t="b">
        <v>1</v>
      </c>
      <c r="H99" t="n">
        <v>0</v>
      </c>
    </row>
    <row r="100">
      <c r="A100" t="inlineStr">
        <is>
          <t>4d6ae5c8-6206-4d65-bd5f-17df4fa99c1d</t>
        </is>
      </c>
      <c r="B100" t="inlineStr">
        <is>
          <t>Mayonesa Hellmanns bote</t>
        </is>
      </c>
      <c r="C100" t="inlineStr">
        <is>
          <t>caja</t>
        </is>
      </c>
      <c r="D100" t="inlineStr">
        <is>
          <t>Salsas y Aderezos</t>
        </is>
      </c>
      <c r="E100" t="n">
        <v>0</v>
      </c>
      <c r="F100" t="b">
        <v>1</v>
      </c>
      <c r="G100" t="b">
        <v>1</v>
      </c>
      <c r="H100" t="n">
        <v>0</v>
      </c>
    </row>
    <row r="101">
      <c r="A101" t="inlineStr">
        <is>
          <t>cb0ea163-2818-4807-824b-52036437cc8c</t>
        </is>
      </c>
      <c r="B101" t="inlineStr">
        <is>
          <t>Mayonesa Hellmans Real</t>
        </is>
      </c>
      <c r="C101" t="inlineStr">
        <is>
          <t>oz</t>
        </is>
      </c>
      <c r="D101" t="inlineStr">
        <is>
          <t>Insumo Cocina</t>
        </is>
      </c>
      <c r="E101" t="n">
        <v>11.5</v>
      </c>
      <c r="F101" t="b">
        <v>1</v>
      </c>
      <c r="G101" t="b">
        <v>0</v>
      </c>
      <c r="H101" t="n">
        <v>0</v>
      </c>
    </row>
    <row r="102">
      <c r="A102" t="inlineStr">
        <is>
          <t>56fa2a6c-1e86-43fe-94ae-3de7e732db1d</t>
        </is>
      </c>
      <c r="B102" t="inlineStr">
        <is>
          <t>Mayonesa MC Mcormick 900 X9 GRS Sobres</t>
        </is>
      </c>
      <c r="C102" t="inlineStr">
        <is>
          <t>sobre</t>
        </is>
      </c>
      <c r="D102" t="inlineStr">
        <is>
          <t>Insumo Papas</t>
        </is>
      </c>
      <c r="E102" t="n">
        <v>29.67</v>
      </c>
      <c r="F102" t="b">
        <v>1</v>
      </c>
      <c r="G102" t="b">
        <v>0</v>
      </c>
      <c r="H102" t="n">
        <v>0</v>
      </c>
    </row>
    <row r="103">
      <c r="A103" t="inlineStr">
        <is>
          <t>46713027-8461-408e-a80c-90c352509b56</t>
        </is>
      </c>
      <c r="B103" t="inlineStr">
        <is>
          <t>Mayonesa caja 900 sobres</t>
        </is>
      </c>
      <c r="C103" t="inlineStr">
        <is>
          <t>caja</t>
        </is>
      </c>
      <c r="D103" t="inlineStr">
        <is>
          <t>Salsas y Aderezos</t>
        </is>
      </c>
      <c r="E103" t="n">
        <v>0</v>
      </c>
      <c r="F103" t="b">
        <v>1</v>
      </c>
      <c r="G103" t="b">
        <v>1</v>
      </c>
      <c r="H103" t="n">
        <v>0</v>
      </c>
    </row>
    <row r="104">
      <c r="A104" t="inlineStr">
        <is>
          <t>d4627645-fa6e-48a6-b7de-865d34f280c4</t>
        </is>
      </c>
      <c r="B104" t="inlineStr">
        <is>
          <t>Mermelada bolsa</t>
        </is>
      </c>
      <c r="C104" t="inlineStr">
        <is>
          <t>bolsa</t>
        </is>
      </c>
      <c r="D104" t="inlineStr">
        <is>
          <t>Carnes y Complementos</t>
        </is>
      </c>
      <c r="E104" t="n">
        <v>0</v>
      </c>
      <c r="F104" t="b">
        <v>1</v>
      </c>
      <c r="G104" t="b">
        <v>1</v>
      </c>
      <c r="H104" t="n">
        <v>0</v>
      </c>
    </row>
    <row r="105">
      <c r="A105" t="inlineStr">
        <is>
          <t>6399f9e9-1f0e-4215-a7dc-08fcfc9464fd</t>
        </is>
      </c>
      <c r="B105" t="inlineStr">
        <is>
          <t>Mermelada de Tocino</t>
        </is>
      </c>
      <c r="C105" t="inlineStr">
        <is>
          <t>tanda</t>
        </is>
      </c>
      <c r="D105" t="inlineStr">
        <is>
          <t>Sub Producto</t>
        </is>
      </c>
      <c r="E105" t="n">
        <v>0</v>
      </c>
      <c r="F105" t="b">
        <v>1</v>
      </c>
      <c r="G105" t="b">
        <v>0</v>
      </c>
      <c r="H105" t="n">
        <v>0</v>
      </c>
    </row>
    <row r="106">
      <c r="A106" t="inlineStr">
        <is>
          <t>1cd8fdb5-f29a-4e09-879c-bfb1e8162c72</t>
        </is>
      </c>
      <c r="B106" t="inlineStr">
        <is>
          <t>Mezcla 3 quesos de costra bolsa 2.27 kgs</t>
        </is>
      </c>
      <c r="C106" t="inlineStr">
        <is>
          <t>kg</t>
        </is>
      </c>
      <c r="D106" t="inlineStr">
        <is>
          <t>Quesos y Lácteos</t>
        </is>
      </c>
      <c r="E106" t="n">
        <v>0</v>
      </c>
      <c r="F106" t="b">
        <v>1</v>
      </c>
      <c r="G106" t="b">
        <v>1</v>
      </c>
      <c r="H106" t="n">
        <v>0</v>
      </c>
    </row>
    <row r="107">
      <c r="A107" t="inlineStr">
        <is>
          <t>dce41e0a-2ce8-41ac-a4db-16f08cb05317</t>
        </is>
      </c>
      <c r="B107" t="inlineStr">
        <is>
          <t>Miel de Maple</t>
        </is>
      </c>
      <c r="C107" t="inlineStr">
        <is>
          <t>taza</t>
        </is>
      </c>
      <c r="D107" t="inlineStr">
        <is>
          <t>Insumo Extras</t>
        </is>
      </c>
      <c r="E107" t="n">
        <v>0</v>
      </c>
      <c r="F107" t="b">
        <v>1</v>
      </c>
      <c r="G107" t="b">
        <v>0</v>
      </c>
      <c r="H107" t="n">
        <v>0</v>
      </c>
    </row>
    <row r="108">
      <c r="A108" t="inlineStr">
        <is>
          <t>374cd9a1-325d-44f6-a2df-8e4874c3c0c8</t>
        </is>
      </c>
      <c r="B108" t="inlineStr">
        <is>
          <t>Mil islas bolsa</t>
        </is>
      </c>
      <c r="C108" t="inlineStr">
        <is>
          <t>bolsa</t>
        </is>
      </c>
      <c r="D108" t="inlineStr">
        <is>
          <t>Salsas y Aderezos</t>
        </is>
      </c>
      <c r="E108" t="n">
        <v>0</v>
      </c>
      <c r="F108" t="b">
        <v>1</v>
      </c>
      <c r="G108" t="b">
        <v>1</v>
      </c>
      <c r="H108" t="n">
        <v>0</v>
      </c>
    </row>
    <row r="109">
      <c r="A109" t="inlineStr">
        <is>
          <t>5aa7cf6b-4747-48c5-ba23-3d604f3ff557</t>
        </is>
      </c>
      <c r="B109" t="inlineStr">
        <is>
          <t>Mini Fancy</t>
        </is>
      </c>
      <c r="C109" t="inlineStr">
        <is>
          <t>porcion</t>
        </is>
      </c>
      <c r="D109" t="inlineStr">
        <is>
          <t>Sub Producto</t>
        </is>
      </c>
      <c r="E109" t="n">
        <v>0</v>
      </c>
      <c r="F109" t="b">
        <v>1</v>
      </c>
      <c r="G109" t="b">
        <v>0</v>
      </c>
      <c r="H109" t="n">
        <v>0</v>
      </c>
    </row>
    <row r="110">
      <c r="A110" t="inlineStr">
        <is>
          <t>0b01ac2c-5f24-4efd-829e-a02fb76296e6</t>
        </is>
      </c>
      <c r="B110" t="inlineStr">
        <is>
          <t>Mini fancys unidad</t>
        </is>
      </c>
      <c r="C110" t="inlineStr">
        <is>
          <t>unidad</t>
        </is>
      </c>
      <c r="D110" t="inlineStr">
        <is>
          <t>Papas y Congelados</t>
        </is>
      </c>
      <c r="E110" t="n">
        <v>0</v>
      </c>
      <c r="F110" t="b">
        <v>1</v>
      </c>
      <c r="G110" t="b">
        <v>0</v>
      </c>
      <c r="H110" t="n">
        <v>0</v>
      </c>
    </row>
    <row r="111">
      <c r="A111" t="inlineStr">
        <is>
          <t>8a76f49f-a272-4d6f-a6aa-f61ade0750bf</t>
        </is>
      </c>
      <c r="B111" t="inlineStr">
        <is>
          <t>Molida  80/20</t>
        </is>
      </c>
      <c r="C111" t="inlineStr">
        <is>
          <t>lb</t>
        </is>
      </c>
      <c r="D111" t="inlineStr">
        <is>
          <t>Carnes</t>
        </is>
      </c>
      <c r="E111" t="n">
        <v>2.65</v>
      </c>
      <c r="F111" t="b">
        <v>1</v>
      </c>
      <c r="G111" t="b">
        <v>0</v>
      </c>
      <c r="H111" t="n">
        <v>0</v>
      </c>
    </row>
    <row r="112">
      <c r="A112" t="inlineStr">
        <is>
          <t>c48a7c16-895d-48d4-9cb1-9349fb3b4892</t>
        </is>
      </c>
      <c r="B112" t="inlineStr">
        <is>
          <t>Molida 90/10</t>
        </is>
      </c>
      <c r="C112" t="inlineStr">
        <is>
          <t>lb</t>
        </is>
      </c>
      <c r="D112" t="inlineStr">
        <is>
          <t>Insumo Hamburguesa</t>
        </is>
      </c>
      <c r="E112" t="n">
        <v>2.65</v>
      </c>
      <c r="F112" t="b">
        <v>1</v>
      </c>
      <c r="G112" t="b">
        <v>0</v>
      </c>
      <c r="H112" t="n">
        <v>0</v>
      </c>
    </row>
    <row r="113">
      <c r="A113" t="inlineStr">
        <is>
          <t>1d56737d-083b-406e-a850-32221b41f964</t>
        </is>
      </c>
      <c r="B113" t="inlineStr">
        <is>
          <t>Mostaza Dijon Chardonay GL 2X105OZ</t>
        </is>
      </c>
      <c r="C113" t="inlineStr">
        <is>
          <t>oz</t>
        </is>
      </c>
      <c r="D113" t="inlineStr">
        <is>
          <t>Insumo Papas</t>
        </is>
      </c>
      <c r="E113" t="n">
        <v>6.93</v>
      </c>
      <c r="F113" t="b">
        <v>1</v>
      </c>
      <c r="G113" t="b">
        <v>0</v>
      </c>
      <c r="H113" t="n">
        <v>0</v>
      </c>
    </row>
    <row r="114">
      <c r="A114" t="inlineStr">
        <is>
          <t>7a2941ea-4482-4341-ac5f-d255996c1271</t>
        </is>
      </c>
      <c r="B114" t="inlineStr">
        <is>
          <t>Mostaza MC Cormick Galon Bolsa</t>
        </is>
      </c>
      <c r="C114" t="inlineStr">
        <is>
          <t>ml</t>
        </is>
      </c>
      <c r="D114" t="inlineStr">
        <is>
          <t>Insumo Papas</t>
        </is>
      </c>
      <c r="E114" t="n">
        <v>5.5</v>
      </c>
      <c r="F114" t="b">
        <v>1</v>
      </c>
      <c r="G114" t="b">
        <v>0</v>
      </c>
      <c r="H114" t="n">
        <v>0</v>
      </c>
    </row>
    <row r="115">
      <c r="A115" t="inlineStr">
        <is>
          <t>a481f122-8423-4778-b8a4-d391c647fd79</t>
        </is>
      </c>
      <c r="B115" t="inlineStr">
        <is>
          <t>Mostaza Sobres MC Macormick 1000/6gr</t>
        </is>
      </c>
      <c r="C115" t="inlineStr">
        <is>
          <t>Unidad</t>
        </is>
      </c>
      <c r="D115" t="inlineStr">
        <is>
          <t>Insumo Papas</t>
        </is>
      </c>
      <c r="E115" t="n">
        <v>24.88</v>
      </c>
      <c r="F115" t="b">
        <v>1</v>
      </c>
      <c r="G115" t="b">
        <v>0</v>
      </c>
      <c r="H115" t="n">
        <v>0</v>
      </c>
    </row>
    <row r="116">
      <c r="A116" t="inlineStr">
        <is>
          <t>4b937d39-abff-4bc3-93af-3889c3856f6a</t>
        </is>
      </c>
      <c r="B116" t="inlineStr">
        <is>
          <t>Mostaza caja 1000 sobres</t>
        </is>
      </c>
      <c r="C116" t="inlineStr">
        <is>
          <t>caja</t>
        </is>
      </c>
      <c r="D116" t="inlineStr">
        <is>
          <t>Salsas y Aderezos</t>
        </is>
      </c>
      <c r="E116" t="n">
        <v>0</v>
      </c>
      <c r="F116" t="b">
        <v>1</v>
      </c>
      <c r="G116" t="b">
        <v>1</v>
      </c>
      <c r="H116" t="n">
        <v>0</v>
      </c>
    </row>
    <row r="117">
      <c r="A117" t="inlineStr">
        <is>
          <t>499018dd-7881-4709-b3f7-5060bb8cc456</t>
        </is>
      </c>
      <c r="B117" t="inlineStr">
        <is>
          <t>Mozzarella Rebanado 5lbs</t>
        </is>
      </c>
      <c r="C117" t="inlineStr">
        <is>
          <t>lb</t>
        </is>
      </c>
      <c r="D117" t="inlineStr">
        <is>
          <t>Insumo Hamburguesa</t>
        </is>
      </c>
      <c r="E117" t="n">
        <v>3.45</v>
      </c>
      <c r="F117" t="b">
        <v>1</v>
      </c>
      <c r="G117" t="b">
        <v>0</v>
      </c>
      <c r="H117" t="n">
        <v>0</v>
      </c>
    </row>
    <row r="118">
      <c r="A118" t="inlineStr">
        <is>
          <t>537754b7-e3aa-4b05-9368-dac13fcebd46</t>
        </is>
      </c>
      <c r="B118" t="inlineStr">
        <is>
          <t>Mydibel papa clasica</t>
        </is>
      </c>
      <c r="C118" t="inlineStr">
        <is>
          <t>unidad</t>
        </is>
      </c>
      <c r="D118" t="inlineStr">
        <is>
          <t>Insumo</t>
        </is>
      </c>
      <c r="E118" t="n">
        <v>14</v>
      </c>
      <c r="F118" t="b">
        <v>1</v>
      </c>
      <c r="G118" t="b">
        <v>0</v>
      </c>
      <c r="H118" t="n">
        <v>0</v>
      </c>
    </row>
    <row r="119">
      <c r="A119" t="inlineStr">
        <is>
          <t>212d1b46-629c-4475-a68f-57f092ddad5f</t>
        </is>
      </c>
      <c r="B119" t="inlineStr">
        <is>
          <t>New York Corte Argentino</t>
        </is>
      </c>
      <c r="C119" t="inlineStr">
        <is>
          <t>lb</t>
        </is>
      </c>
      <c r="D119" t="inlineStr">
        <is>
          <t>Insumo Hamburguesa</t>
        </is>
      </c>
      <c r="E119" t="n">
        <v>6</v>
      </c>
      <c r="F119" t="b">
        <v>1</v>
      </c>
      <c r="G119" t="b">
        <v>0</v>
      </c>
      <c r="H119" t="n">
        <v>0</v>
      </c>
    </row>
    <row r="120">
      <c r="A120" t="inlineStr">
        <is>
          <t>23d37d3c-5bed-4276-a8b9-8610c560b366</t>
        </is>
      </c>
      <c r="B120" t="inlineStr">
        <is>
          <t>Nuca de Cerdo</t>
        </is>
      </c>
      <c r="C120" t="inlineStr">
        <is>
          <t>lb</t>
        </is>
      </c>
      <c r="D120" t="inlineStr">
        <is>
          <t>Insumo Hamburguesa</t>
        </is>
      </c>
      <c r="E120" t="n">
        <v>2.25</v>
      </c>
      <c r="F120" t="b">
        <v>1</v>
      </c>
      <c r="G120" t="b">
        <v>0</v>
      </c>
      <c r="H120" t="n">
        <v>0</v>
      </c>
    </row>
    <row r="121">
      <c r="A121" t="inlineStr">
        <is>
          <t>0d089bf3-8b12-4853-aab0-dd63836e2078</t>
        </is>
      </c>
      <c r="B121" t="inlineStr">
        <is>
          <t>Nutkao Nutella galón</t>
        </is>
      </c>
      <c r="C121" t="inlineStr">
        <is>
          <t>galón</t>
        </is>
      </c>
      <c r="D121" t="inlineStr">
        <is>
          <t>Salsas y Aderezos</t>
        </is>
      </c>
      <c r="E121" t="n">
        <v>0</v>
      </c>
      <c r="F121" t="b">
        <v>1</v>
      </c>
      <c r="G121" t="b">
        <v>1</v>
      </c>
      <c r="H121" t="n">
        <v>0</v>
      </c>
    </row>
    <row r="122">
      <c r="A122" t="inlineStr">
        <is>
          <t>209ff2a7-ac88-46e4-8bd0-98ff2a5b960d</t>
        </is>
      </c>
      <c r="B122" t="inlineStr">
        <is>
          <t>Pajilla forrada paquete 12 bolsitas</t>
        </is>
      </c>
      <c r="C122" t="inlineStr">
        <is>
          <t>paquete</t>
        </is>
      </c>
      <c r="D122" t="inlineStr">
        <is>
          <t>Empaques y Desechables</t>
        </is>
      </c>
      <c r="E122" t="n">
        <v>0</v>
      </c>
      <c r="F122" t="b">
        <v>1</v>
      </c>
      <c r="G122" t="b">
        <v>1</v>
      </c>
      <c r="H122" t="n">
        <v>0</v>
      </c>
    </row>
    <row r="123">
      <c r="A123" t="inlineStr">
        <is>
          <t>e9d21e70-745d-4a6b-9755-32206d8cf42c</t>
        </is>
      </c>
      <c r="B123" t="inlineStr">
        <is>
          <t>Pan Hot Dog Berna bolsa 10 unidades</t>
        </is>
      </c>
      <c r="C123" t="inlineStr">
        <is>
          <t>bolsa</t>
        </is>
      </c>
      <c r="D123" t="inlineStr">
        <is>
          <t>Panes</t>
        </is>
      </c>
      <c r="E123" t="n">
        <v>0</v>
      </c>
      <c r="F123" t="b">
        <v>1</v>
      </c>
      <c r="G123" t="b">
        <v>1</v>
      </c>
      <c r="H123" t="n">
        <v>0</v>
      </c>
    </row>
    <row r="124">
      <c r="A124" t="inlineStr">
        <is>
          <t>4eea6d84-ffff-4ad1-a0be-6ad2771a943d</t>
        </is>
      </c>
      <c r="B124" t="inlineStr">
        <is>
          <t>Pan de Hamburguesa Brioche 2.8oz</t>
        </is>
      </c>
      <c r="C124" t="inlineStr">
        <is>
          <t>unidad</t>
        </is>
      </c>
      <c r="D124" t="inlineStr">
        <is>
          <t>Insumo Hamburguesa</t>
        </is>
      </c>
      <c r="E124" t="n">
        <v>0.38</v>
      </c>
      <c r="F124" t="b">
        <v>1</v>
      </c>
      <c r="G124" t="b">
        <v>0</v>
      </c>
      <c r="H124" t="n">
        <v>0</v>
      </c>
    </row>
    <row r="125">
      <c r="A125" t="inlineStr">
        <is>
          <t>ab97879c-0138-4e04-bf5f-8ffd5c2034b7</t>
        </is>
      </c>
      <c r="B125" t="inlineStr">
        <is>
          <t>Pan de Hamburguesa Brioche bolsa 12 unidades</t>
        </is>
      </c>
      <c r="C125" t="inlineStr">
        <is>
          <t>bolsa</t>
        </is>
      </c>
      <c r="D125" t="inlineStr">
        <is>
          <t>Panes</t>
        </is>
      </c>
      <c r="E125" t="n">
        <v>0</v>
      </c>
      <c r="F125" t="b">
        <v>1</v>
      </c>
      <c r="G125" t="b">
        <v>1</v>
      </c>
      <c r="H125" t="n">
        <v>0</v>
      </c>
    </row>
    <row r="126">
      <c r="A126" t="inlineStr">
        <is>
          <t>b50aec31-dba4-41d4-8445-97af423ccff9</t>
        </is>
      </c>
      <c r="B126" t="inlineStr">
        <is>
          <t>Pan de Hot Dog Brioche 2.2oz</t>
        </is>
      </c>
      <c r="C126" t="inlineStr">
        <is>
          <t>unidad</t>
        </is>
      </c>
      <c r="D126" t="inlineStr">
        <is>
          <t>Insumo Hamburguesa</t>
        </is>
      </c>
      <c r="E126" t="n">
        <v>0.33</v>
      </c>
      <c r="F126" t="b">
        <v>1</v>
      </c>
      <c r="G126" t="b">
        <v>0</v>
      </c>
      <c r="H126" t="n">
        <v>0</v>
      </c>
    </row>
    <row r="127">
      <c r="A127" t="inlineStr">
        <is>
          <t>fe2f6f88-2dc1-4440-a26f-c0c76e3b7fc2</t>
        </is>
      </c>
      <c r="B127" t="inlineStr">
        <is>
          <t>Pan de Hot Dog Brioche bolsa 12 unidades</t>
        </is>
      </c>
      <c r="C127" t="inlineStr">
        <is>
          <t>bolsa</t>
        </is>
      </c>
      <c r="D127" t="inlineStr">
        <is>
          <t>Panes</t>
        </is>
      </c>
      <c r="E127" t="n">
        <v>0</v>
      </c>
      <c r="F127" t="b">
        <v>1</v>
      </c>
      <c r="G127" t="b">
        <v>1</v>
      </c>
      <c r="H127" t="n">
        <v>0</v>
      </c>
    </row>
    <row r="128">
      <c r="A128" t="inlineStr">
        <is>
          <t>0edc4843-a9ce-40d0-ad3e-989490aa72a2</t>
        </is>
      </c>
      <c r="B128" t="inlineStr">
        <is>
          <t>Papa Blanca</t>
        </is>
      </c>
      <c r="C128" t="inlineStr">
        <is>
          <t>porcion</t>
        </is>
      </c>
      <c r="D128" t="inlineStr">
        <is>
          <t>Sub Producto</t>
        </is>
      </c>
      <c r="E128" t="n">
        <v>0</v>
      </c>
      <c r="F128" t="b">
        <v>1</v>
      </c>
      <c r="G128" t="b">
        <v>0</v>
      </c>
      <c r="H128" t="n">
        <v>0</v>
      </c>
    </row>
    <row r="129">
      <c r="A129" t="inlineStr">
        <is>
          <t>08ee1496-6800-4d28-89f6-f492d87d7d41</t>
        </is>
      </c>
      <c r="B129" t="inlineStr">
        <is>
          <t>Papa Blanca 20lb</t>
        </is>
      </c>
      <c r="C129" t="inlineStr">
        <is>
          <t>lb</t>
        </is>
      </c>
      <c r="D129" t="inlineStr">
        <is>
          <t>Papas y Congelados</t>
        </is>
      </c>
      <c r="E129" t="n">
        <v>0</v>
      </c>
      <c r="F129" t="b">
        <v>1</v>
      </c>
      <c r="G129" t="b">
        <v>1</v>
      </c>
      <c r="H129" t="n">
        <v>0</v>
      </c>
    </row>
    <row r="130">
      <c r="A130" t="inlineStr">
        <is>
          <t>04bd4148-efcc-427c-8b8d-b28aea8487fe</t>
        </is>
      </c>
      <c r="B130" t="inlineStr">
        <is>
          <t>Papa Sazonada</t>
        </is>
      </c>
      <c r="C130" t="inlineStr">
        <is>
          <t>porcion</t>
        </is>
      </c>
      <c r="D130" t="inlineStr">
        <is>
          <t>Sub Producto</t>
        </is>
      </c>
      <c r="E130" t="n">
        <v>0</v>
      </c>
      <c r="F130" t="b">
        <v>1</v>
      </c>
      <c r="G130" t="b">
        <v>0</v>
      </c>
      <c r="H130" t="n">
        <v>0</v>
      </c>
    </row>
    <row r="131">
      <c r="A131" t="inlineStr">
        <is>
          <t>3c9f72f7-cd3d-4a5c-9841-84e916e03007</t>
        </is>
      </c>
      <c r="B131" t="inlineStr">
        <is>
          <t>Papa Sazonadas 30lb</t>
        </is>
      </c>
      <c r="C131" t="inlineStr">
        <is>
          <t>libra</t>
        </is>
      </c>
      <c r="D131" t="inlineStr">
        <is>
          <t>Papas y Congelados</t>
        </is>
      </c>
      <c r="E131" t="n">
        <v>0</v>
      </c>
      <c r="F131" t="b">
        <v>1</v>
      </c>
      <c r="G131" t="b">
        <v>1</v>
      </c>
      <c r="H131" t="n">
        <v>0</v>
      </c>
    </row>
    <row r="132">
      <c r="A132" t="inlineStr">
        <is>
          <t>c3a0697a-5b97-4d00-9173-fd43c7e204bc</t>
        </is>
      </c>
      <c r="B132" t="inlineStr">
        <is>
          <t>Papa Waffle</t>
        </is>
      </c>
      <c r="C132" t="inlineStr">
        <is>
          <t>libra</t>
        </is>
      </c>
      <c r="D132" t="inlineStr">
        <is>
          <t>Sub Producto</t>
        </is>
      </c>
      <c r="E132" t="n">
        <v>0</v>
      </c>
      <c r="F132" t="b">
        <v>1</v>
      </c>
      <c r="G132" t="b">
        <v>1</v>
      </c>
      <c r="H132" t="n">
        <v>0</v>
      </c>
    </row>
    <row r="133">
      <c r="A133" t="inlineStr">
        <is>
          <t>45c837d5-e6ba-4eaf-843e-0ac4d9c1b013</t>
        </is>
      </c>
      <c r="B133" t="inlineStr">
        <is>
          <t>Papa Waffle 27LB</t>
        </is>
      </c>
      <c r="C133" t="inlineStr">
        <is>
          <t>lb</t>
        </is>
      </c>
      <c r="D133" t="inlineStr">
        <is>
          <t>Papas y Congelados</t>
        </is>
      </c>
      <c r="E133" t="n">
        <v>0</v>
      </c>
      <c r="F133" t="b">
        <v>1</v>
      </c>
      <c r="G133" t="b">
        <v>0</v>
      </c>
      <c r="H133" t="n">
        <v>0</v>
      </c>
    </row>
    <row r="134">
      <c r="A134" t="inlineStr">
        <is>
          <t>96bfdc87-b998-4758-85ba-db9d14fa0ae5</t>
        </is>
      </c>
      <c r="B134" t="inlineStr">
        <is>
          <t>Papel Toalla caja 6 unidades</t>
        </is>
      </c>
      <c r="C134" t="inlineStr">
        <is>
          <t>caja</t>
        </is>
      </c>
      <c r="D134" t="inlineStr">
        <is>
          <t>Empaques y Desechables</t>
        </is>
      </c>
      <c r="E134" t="n">
        <v>0</v>
      </c>
      <c r="F134" t="b">
        <v>1</v>
      </c>
      <c r="G134" t="b">
        <v>1</v>
      </c>
      <c r="H134" t="n">
        <v>0</v>
      </c>
    </row>
    <row r="135">
      <c r="A135" t="inlineStr">
        <is>
          <t>ae412eec-53e8-4a31-aeb3-caa60a4e5b2e</t>
        </is>
      </c>
      <c r="B135" t="inlineStr">
        <is>
          <t>Papel aluminio paquete</t>
        </is>
      </c>
      <c r="C135" t="inlineStr">
        <is>
          <t>paquete</t>
        </is>
      </c>
      <c r="D135" t="inlineStr">
        <is>
          <t>Empaques y Desechables</t>
        </is>
      </c>
      <c r="E135" t="n">
        <v>0</v>
      </c>
      <c r="F135" t="b">
        <v>1</v>
      </c>
      <c r="G135" t="b">
        <v>1</v>
      </c>
      <c r="H135" t="n">
        <v>0</v>
      </c>
    </row>
    <row r="136">
      <c r="A136" t="inlineStr">
        <is>
          <t>00157979-9c93-4238-80cd-76c88c4b5511</t>
        </is>
      </c>
      <c r="B136" t="inlineStr">
        <is>
          <t>Papel brandeado paquete 500 hojas</t>
        </is>
      </c>
      <c r="C136" t="inlineStr">
        <is>
          <t>unidad</t>
        </is>
      </c>
      <c r="D136" t="inlineStr">
        <is>
          <t>Empaques y Desechables</t>
        </is>
      </c>
      <c r="E136" t="n">
        <v>0</v>
      </c>
      <c r="F136" t="b">
        <v>1</v>
      </c>
      <c r="G136" t="b">
        <v>1</v>
      </c>
      <c r="H136" t="n">
        <v>0</v>
      </c>
    </row>
    <row r="137">
      <c r="A137" t="inlineStr">
        <is>
          <t>e717dd5d-c141-4e38-846c-81f57b87e156</t>
        </is>
      </c>
      <c r="B137" t="inlineStr">
        <is>
          <t>Peperonchini en vinagre bolsa</t>
        </is>
      </c>
      <c r="C137" t="inlineStr">
        <is>
          <t>bolsa</t>
        </is>
      </c>
      <c r="D137" t="inlineStr">
        <is>
          <t>Vegetales y Verduras</t>
        </is>
      </c>
      <c r="E137" t="n">
        <v>0</v>
      </c>
      <c r="F137" t="b">
        <v>1</v>
      </c>
      <c r="G137" t="b">
        <v>1</v>
      </c>
      <c r="H137" t="n">
        <v>0</v>
      </c>
    </row>
    <row r="138">
      <c r="A138" t="inlineStr">
        <is>
          <t>f9981d1e-1c1f-49db-b4e1-5849cbedbe0e</t>
        </is>
      </c>
      <c r="B138" t="inlineStr">
        <is>
          <t>Pepinillo para burguer bote</t>
        </is>
      </c>
      <c r="C138" t="inlineStr">
        <is>
          <t>bote</t>
        </is>
      </c>
      <c r="D138" t="inlineStr">
        <is>
          <t>Vegetales y Verduras</t>
        </is>
      </c>
      <c r="E138" t="n">
        <v>0</v>
      </c>
      <c r="F138" t="b">
        <v>1</v>
      </c>
      <c r="G138" t="b">
        <v>1</v>
      </c>
      <c r="H138" t="n">
        <v>0</v>
      </c>
    </row>
    <row r="139">
      <c r="A139" t="inlineStr">
        <is>
          <t>1b80893e-6166-48a1-8a28-31f887c43124</t>
        </is>
      </c>
      <c r="B139" t="inlineStr">
        <is>
          <t>Pepinillo triturado bote</t>
        </is>
      </c>
      <c r="C139" t="inlineStr">
        <is>
          <t>bote</t>
        </is>
      </c>
      <c r="D139" t="inlineStr">
        <is>
          <t>Vegetales y Verduras</t>
        </is>
      </c>
      <c r="E139" t="n">
        <v>0</v>
      </c>
      <c r="F139" t="b">
        <v>1</v>
      </c>
      <c r="G139" t="b">
        <v>1</v>
      </c>
      <c r="H139" t="n">
        <v>0</v>
      </c>
    </row>
    <row r="140">
      <c r="A140" t="inlineStr">
        <is>
          <t>4bc617dd-d452-4147-931b-9c4f31d1dca6</t>
        </is>
      </c>
      <c r="B140" t="inlineStr">
        <is>
          <t>Pepinillos Rebanados</t>
        </is>
      </c>
      <c r="C140" t="inlineStr">
        <is>
          <t>porcion</t>
        </is>
      </c>
      <c r="D140" t="inlineStr">
        <is>
          <t>Sub Producto</t>
        </is>
      </c>
      <c r="E140" t="n">
        <v>0</v>
      </c>
      <c r="F140" t="b">
        <v>1</v>
      </c>
      <c r="G140" t="b">
        <v>0</v>
      </c>
      <c r="H140" t="n">
        <v>0</v>
      </c>
    </row>
    <row r="141">
      <c r="A141" t="inlineStr">
        <is>
          <t>e9bb2881-eba9-489f-b4d2-f984185564dd</t>
        </is>
      </c>
      <c r="B141" t="inlineStr">
        <is>
          <t>Pepperonchini En Vinagre Monteverde BI. PI. H2.2KG</t>
        </is>
      </c>
      <c r="C141" t="inlineStr">
        <is>
          <t>unidad</t>
        </is>
      </c>
      <c r="D141" t="inlineStr">
        <is>
          <t>Insumo Extras</t>
        </is>
      </c>
      <c r="E141" t="n">
        <v>7.37</v>
      </c>
      <c r="F141" t="b">
        <v>1</v>
      </c>
      <c r="G141" t="b">
        <v>0</v>
      </c>
      <c r="H141" t="n">
        <v>0</v>
      </c>
    </row>
    <row r="142">
      <c r="A142" t="inlineStr">
        <is>
          <t>d2d82304-c146-43e6-b913-11276aab5495</t>
        </is>
      </c>
      <c r="B142" t="inlineStr">
        <is>
          <t>Pimienta Molida bote 453 gr</t>
        </is>
      </c>
      <c r="C142" t="inlineStr">
        <is>
          <t>bote</t>
        </is>
      </c>
      <c r="D142" t="inlineStr">
        <is>
          <t>Salsas y Aderezos</t>
        </is>
      </c>
      <c r="E142" t="n">
        <v>0</v>
      </c>
      <c r="F142" t="b">
        <v>1</v>
      </c>
      <c r="G142" t="b">
        <v>1</v>
      </c>
      <c r="H142" t="n">
        <v>0</v>
      </c>
    </row>
    <row r="143">
      <c r="A143" t="inlineStr">
        <is>
          <t>5ff2bb53-a1e6-4bd4-98b6-b4bd203f0309</t>
        </is>
      </c>
      <c r="B143" t="inlineStr">
        <is>
          <t>Plastico Transparente film 18x2000</t>
        </is>
      </c>
      <c r="C143" t="inlineStr">
        <is>
          <t>paquete</t>
        </is>
      </c>
      <c r="D143" t="inlineStr">
        <is>
          <t>Empaques y Desechables</t>
        </is>
      </c>
      <c r="E143" t="n">
        <v>0</v>
      </c>
      <c r="F143" t="b">
        <v>1</v>
      </c>
      <c r="G143" t="b">
        <v>1</v>
      </c>
      <c r="H143" t="n">
        <v>0</v>
      </c>
    </row>
    <row r="144">
      <c r="A144" t="inlineStr">
        <is>
          <t>d5eb6450-1f43-4095-8c4b-23d5436d4dba</t>
        </is>
      </c>
      <c r="B144" t="inlineStr">
        <is>
          <t>Pliego de papel kraft</t>
        </is>
      </c>
      <c r="C144" t="inlineStr">
        <is>
          <t>pliego</t>
        </is>
      </c>
      <c r="D144" t="inlineStr">
        <is>
          <t>Extras</t>
        </is>
      </c>
      <c r="E144" t="n">
        <v>0</v>
      </c>
      <c r="F144" t="b">
        <v>1</v>
      </c>
      <c r="G144" t="b">
        <v>1</v>
      </c>
      <c r="H144" t="n">
        <v>0</v>
      </c>
    </row>
    <row r="145">
      <c r="A145" t="inlineStr">
        <is>
          <t>ae9a4f30-0431-443d-80aa-602758d25434</t>
        </is>
      </c>
      <c r="B145" t="inlineStr">
        <is>
          <t>Pliego de stickers para domicilio</t>
        </is>
      </c>
      <c r="C145" t="inlineStr">
        <is>
          <t>unidad</t>
        </is>
      </c>
      <c r="D145" t="inlineStr">
        <is>
          <t>Extras</t>
        </is>
      </c>
      <c r="E145" t="n">
        <v>0</v>
      </c>
      <c r="F145" t="b">
        <v>1</v>
      </c>
      <c r="G145" t="b">
        <v>1</v>
      </c>
      <c r="H145" t="n">
        <v>0</v>
      </c>
    </row>
    <row r="146">
      <c r="A146" t="inlineStr">
        <is>
          <t>7ad492df-8740-4bb6-b2f0-af2693ae9575</t>
        </is>
      </c>
      <c r="B146" t="inlineStr">
        <is>
          <t>Polipel unidad</t>
        </is>
      </c>
      <c r="C146" t="inlineStr">
        <is>
          <t>unidad</t>
        </is>
      </c>
      <c r="D146" t="inlineStr">
        <is>
          <t>Empaques y Desechables</t>
        </is>
      </c>
      <c r="E146" t="n">
        <v>0</v>
      </c>
      <c r="F146" t="b">
        <v>1</v>
      </c>
      <c r="G146" t="b">
        <v>1</v>
      </c>
      <c r="H146" t="n">
        <v>0</v>
      </c>
    </row>
    <row r="147">
      <c r="A147" t="inlineStr">
        <is>
          <t>d566301a-4a18-421d-9fee-f43d875f1572</t>
        </is>
      </c>
      <c r="B147" t="inlineStr">
        <is>
          <t>Polvo de Hongo</t>
        </is>
      </c>
      <c r="C147" t="inlineStr">
        <is>
          <t>cucharadita</t>
        </is>
      </c>
      <c r="D147" t="inlineStr">
        <is>
          <t>Insumo Cocina</t>
        </is>
      </c>
      <c r="E147" t="n">
        <v>0</v>
      </c>
      <c r="F147" t="b">
        <v>1</v>
      </c>
      <c r="G147" t="b">
        <v>0</v>
      </c>
      <c r="H147" t="n">
        <v>0</v>
      </c>
    </row>
    <row r="148">
      <c r="A148" t="inlineStr">
        <is>
          <t>8dfa351f-f7df-440d-a137-c1627a2a0e99</t>
        </is>
      </c>
      <c r="B148" t="inlineStr">
        <is>
          <t>Polvo de truffa bote</t>
        </is>
      </c>
      <c r="C148" t="inlineStr">
        <is>
          <t>bote</t>
        </is>
      </c>
      <c r="D148" t="inlineStr">
        <is>
          <t>Salsas y Aderezos</t>
        </is>
      </c>
      <c r="E148" t="n">
        <v>0</v>
      </c>
      <c r="F148" t="b">
        <v>1</v>
      </c>
      <c r="G148" t="b">
        <v>1</v>
      </c>
      <c r="H148" t="n">
        <v>0</v>
      </c>
    </row>
    <row r="149">
      <c r="A149" t="inlineStr">
        <is>
          <t>2b8dc38f-cd01-419f-9f5f-1c3a27cb7ffc</t>
        </is>
      </c>
      <c r="B149" t="inlineStr">
        <is>
          <t>Postre Cheesecake Ailyn</t>
        </is>
      </c>
      <c r="C149" t="inlineStr">
        <is>
          <t>pastel</t>
        </is>
      </c>
      <c r="D149" t="inlineStr">
        <is>
          <t>Papas y Congelados</t>
        </is>
      </c>
      <c r="E149" t="n">
        <v>25</v>
      </c>
      <c r="F149" t="b">
        <v>1</v>
      </c>
      <c r="G149" t="b">
        <v>1</v>
      </c>
      <c r="H149" t="n">
        <v>0</v>
      </c>
    </row>
    <row r="150">
      <c r="A150" t="inlineStr">
        <is>
          <t>f1bdb179-c33a-4d19-919c-23d297144af5</t>
        </is>
      </c>
      <c r="B150" t="inlineStr">
        <is>
          <t>Producto con nombre TOCINO</t>
        </is>
      </c>
      <c r="C150" t="inlineStr">
        <is>
          <t>kg</t>
        </is>
      </c>
      <c r="D150" t="inlineStr">
        <is>
          <t>Carnes</t>
        </is>
      </c>
      <c r="E150" t="n">
        <v>7.1</v>
      </c>
      <c r="F150" t="b">
        <v>1</v>
      </c>
      <c r="G150" t="b">
        <v>0</v>
      </c>
      <c r="H150" t="n">
        <v>0</v>
      </c>
    </row>
    <row r="151">
      <c r="A151" t="inlineStr">
        <is>
          <t>88111010-24f8-41bb-a3a8-7c2f087a8102</t>
        </is>
      </c>
      <c r="B151" t="inlineStr">
        <is>
          <t>Puyazo Corte Argentino</t>
        </is>
      </c>
      <c r="C151" t="inlineStr">
        <is>
          <t>lb</t>
        </is>
      </c>
      <c r="D151" t="inlineStr">
        <is>
          <t>Insumo Hamburguesa</t>
        </is>
      </c>
      <c r="E151" t="n">
        <v>4.99</v>
      </c>
      <c r="F151" t="b">
        <v>1</v>
      </c>
      <c r="G151" t="b">
        <v>0</v>
      </c>
      <c r="H151" t="n">
        <v>0</v>
      </c>
    </row>
    <row r="152">
      <c r="A152" t="inlineStr">
        <is>
          <t>acf080da-12bd-4164-bade-cf6a6df3dd98</t>
        </is>
      </c>
      <c r="B152" t="inlineStr">
        <is>
          <t>Queso Duro Viejo Aserrin bolsa 1.5kg</t>
        </is>
      </c>
      <c r="C152" t="inlineStr">
        <is>
          <t>bolsa</t>
        </is>
      </c>
      <c r="D152" t="inlineStr">
        <is>
          <t>Quesos y Lácteos</t>
        </is>
      </c>
      <c r="E152" t="n">
        <v>0</v>
      </c>
      <c r="F152" t="b">
        <v>1</v>
      </c>
      <c r="G152" t="b">
        <v>1</v>
      </c>
      <c r="H152" t="n">
        <v>0</v>
      </c>
    </row>
    <row r="153">
      <c r="A153" t="inlineStr">
        <is>
          <t>a2c65b67-7b4e-4e56-ac4e-2d1faa569d73</t>
        </is>
      </c>
      <c r="B153" t="inlineStr">
        <is>
          <t>Queso Parmesano Block 2.27kg</t>
        </is>
      </c>
      <c r="C153" t="inlineStr">
        <is>
          <t>kg</t>
        </is>
      </c>
      <c r="D153" t="inlineStr">
        <is>
          <t>Quesos y Lácteos</t>
        </is>
      </c>
      <c r="E153" t="n">
        <v>0</v>
      </c>
      <c r="F153" t="b">
        <v>1</v>
      </c>
      <c r="G153" t="b">
        <v>1</v>
      </c>
      <c r="H153" t="n">
        <v>0</v>
      </c>
    </row>
    <row r="154">
      <c r="A154" t="inlineStr">
        <is>
          <t>7a3bc4fa-9589-41e3-8399-8471c7c187ca</t>
        </is>
      </c>
      <c r="B154" t="inlineStr">
        <is>
          <t>Queso amarillo paquete 1.4 kg</t>
        </is>
      </c>
      <c r="C154" t="inlineStr">
        <is>
          <t>paquete</t>
        </is>
      </c>
      <c r="D154" t="inlineStr">
        <is>
          <t>Quesos y Lácteos</t>
        </is>
      </c>
      <c r="E154" t="n">
        <v>0</v>
      </c>
      <c r="F154" t="b">
        <v>1</v>
      </c>
      <c r="G154" t="b">
        <v>1</v>
      </c>
      <c r="H154" t="n">
        <v>0</v>
      </c>
    </row>
    <row r="155">
      <c r="A155" t="inlineStr">
        <is>
          <t>9e00b30d-03b7-4ab1-a441-c7e3befdd24b</t>
        </is>
      </c>
      <c r="B155" t="inlineStr">
        <is>
          <t xml:space="preserve">Queso frito </t>
        </is>
      </c>
      <c r="C155" t="inlineStr">
        <is>
          <t>unidad</t>
        </is>
      </c>
      <c r="D155" t="inlineStr">
        <is>
          <t>Sub Producto</t>
        </is>
      </c>
      <c r="E155" t="n">
        <v>0</v>
      </c>
      <c r="F155" t="b">
        <v>1</v>
      </c>
      <c r="G155" t="b">
        <v>1</v>
      </c>
      <c r="H155" t="n">
        <v>0</v>
      </c>
    </row>
    <row r="156">
      <c r="A156" t="inlineStr">
        <is>
          <t>d7e03839-7ad3-4133-a7c3-d3471ab2ffda</t>
        </is>
      </c>
      <c r="B156" t="inlineStr">
        <is>
          <t>Queso mozzarella de costra paquete 5 lbs</t>
        </is>
      </c>
      <c r="C156" t="inlineStr">
        <is>
          <t>lb</t>
        </is>
      </c>
      <c r="D156" t="inlineStr">
        <is>
          <t>Quesos y Lácteos</t>
        </is>
      </c>
      <c r="E156" t="n">
        <v>0</v>
      </c>
      <c r="F156" t="b">
        <v>1</v>
      </c>
      <c r="G156" t="b">
        <v>1</v>
      </c>
      <c r="H156" t="n">
        <v>0</v>
      </c>
    </row>
    <row r="157">
      <c r="A157" t="inlineStr">
        <is>
          <t>287ba92f-8335-4a83-b2a6-686b22895261</t>
        </is>
      </c>
      <c r="B157" t="inlineStr">
        <is>
          <t>Queso para dorar</t>
        </is>
      </c>
      <c r="C157" t="inlineStr">
        <is>
          <t>lb</t>
        </is>
      </c>
      <c r="D157" t="inlineStr">
        <is>
          <t>Insumo Extras</t>
        </is>
      </c>
      <c r="E157" t="n">
        <v>3.72</v>
      </c>
      <c r="F157" t="b">
        <v>1</v>
      </c>
      <c r="G157" t="b">
        <v>0</v>
      </c>
      <c r="H157" t="n">
        <v>0</v>
      </c>
    </row>
    <row r="158">
      <c r="A158" t="inlineStr">
        <is>
          <t>e6b536f7-51ad-44ce-b238-64345975ec9f</t>
        </is>
      </c>
      <c r="B158" t="inlineStr">
        <is>
          <t>Ralladura de Limon</t>
        </is>
      </c>
      <c r="C158" t="inlineStr">
        <is>
          <t>unidad</t>
        </is>
      </c>
      <c r="D158" t="inlineStr">
        <is>
          <t>Insumo Extras</t>
        </is>
      </c>
      <c r="E158" t="n">
        <v>0</v>
      </c>
      <c r="F158" t="b">
        <v>1</v>
      </c>
      <c r="G158" t="b">
        <v>0</v>
      </c>
      <c r="H158" t="n">
        <v>0</v>
      </c>
    </row>
    <row r="159">
      <c r="A159" t="inlineStr">
        <is>
          <t>8960c32d-511f-4530-affe-dbaa032e8111</t>
        </is>
      </c>
      <c r="B159" t="inlineStr">
        <is>
          <t>Ranch 1 Galon</t>
        </is>
      </c>
      <c r="C159" t="inlineStr">
        <is>
          <t>oz</t>
        </is>
      </c>
      <c r="D159" t="inlineStr">
        <is>
          <t>Insumo Cocina</t>
        </is>
      </c>
      <c r="E159" t="n">
        <v>10.88</v>
      </c>
      <c r="F159" t="b">
        <v>1</v>
      </c>
      <c r="G159" t="b">
        <v>1</v>
      </c>
      <c r="H159" t="n">
        <v>0</v>
      </c>
    </row>
    <row r="160">
      <c r="A160" t="inlineStr">
        <is>
          <t>20553389-9c3b-43e0-90d4-adb9e627622a</t>
        </is>
      </c>
      <c r="B160" t="inlineStr">
        <is>
          <t>Ranch Porcionado</t>
        </is>
      </c>
      <c r="C160" t="inlineStr">
        <is>
          <t>bote</t>
        </is>
      </c>
      <c r="D160" t="inlineStr">
        <is>
          <t>Sub Producto</t>
        </is>
      </c>
      <c r="E160" t="n">
        <v>0</v>
      </c>
      <c r="F160" t="b">
        <v>1</v>
      </c>
      <c r="G160" t="b">
        <v>0</v>
      </c>
      <c r="H160" t="n">
        <v>0</v>
      </c>
    </row>
    <row r="161">
      <c r="A161" t="inlineStr">
        <is>
          <t>18671fe3-b0c3-4a2a-93d0-e43b782e79b8</t>
        </is>
      </c>
      <c r="B161" t="inlineStr">
        <is>
          <t>Redecillas caja 144 unidades</t>
        </is>
      </c>
      <c r="C161" t="inlineStr">
        <is>
          <t>caja</t>
        </is>
      </c>
      <c r="D161" t="inlineStr">
        <is>
          <t>Empaques y Desechables</t>
        </is>
      </c>
      <c r="E161" t="n">
        <v>0</v>
      </c>
      <c r="F161" t="b">
        <v>1</v>
      </c>
      <c r="G161" t="b">
        <v>1</v>
      </c>
      <c r="H161" t="n">
        <v>0</v>
      </c>
    </row>
    <row r="162">
      <c r="A162" t="inlineStr">
        <is>
          <t>e6dbd444-85fb-4eb4-b2c9-7069a9348188</t>
        </is>
      </c>
      <c r="B162" t="inlineStr">
        <is>
          <t>Rollo de papel térmico unidad</t>
        </is>
      </c>
      <c r="C162" t="inlineStr">
        <is>
          <t>unidad</t>
        </is>
      </c>
      <c r="D162" t="inlineStr">
        <is>
          <t>Extras</t>
        </is>
      </c>
      <c r="E162" t="n">
        <v>0</v>
      </c>
      <c r="F162" t="b">
        <v>1</v>
      </c>
      <c r="G162" t="b">
        <v>1</v>
      </c>
      <c r="H162" t="n">
        <v>0</v>
      </c>
    </row>
    <row r="163">
      <c r="A163" t="inlineStr">
        <is>
          <t>20ba3b87-0e5b-40d2-a2d7-d21bf7f55dcc</t>
        </is>
      </c>
      <c r="B163" t="inlineStr">
        <is>
          <t>Rollos para POS y PEYA unidad</t>
        </is>
      </c>
      <c r="C163" t="inlineStr">
        <is>
          <t>unidad</t>
        </is>
      </c>
      <c r="D163" t="inlineStr">
        <is>
          <t>Extras</t>
        </is>
      </c>
      <c r="E163" t="n">
        <v>0</v>
      </c>
      <c r="F163" t="b">
        <v>1</v>
      </c>
      <c r="G163" t="b">
        <v>1</v>
      </c>
      <c r="H163" t="n">
        <v>0</v>
      </c>
    </row>
    <row r="164">
      <c r="A164" t="inlineStr">
        <is>
          <t>523d50a6-7ac4-41da-85aa-d2677b52f9fa</t>
        </is>
      </c>
      <c r="B164" t="inlineStr">
        <is>
          <t>SMOOTHIE MONIN-MANGO</t>
        </is>
      </c>
      <c r="C164" t="inlineStr">
        <is>
          <t>unidad</t>
        </is>
      </c>
      <c r="D164" t="inlineStr">
        <is>
          <t>INSUMO</t>
        </is>
      </c>
      <c r="E164" t="n">
        <v>13.5</v>
      </c>
      <c r="F164" t="b">
        <v>1</v>
      </c>
      <c r="G164" t="b">
        <v>0</v>
      </c>
      <c r="H164" t="n">
        <v>0</v>
      </c>
    </row>
    <row r="165">
      <c r="A165" t="inlineStr">
        <is>
          <t>b873145b-02b9-4b7e-81c1-20ac6c318de0</t>
        </is>
      </c>
      <c r="B165" t="inlineStr">
        <is>
          <t>STRECH FILM MANUAL</t>
        </is>
      </c>
      <c r="C165" t="inlineStr">
        <is>
          <t>unidad</t>
        </is>
      </c>
      <c r="D165" t="inlineStr">
        <is>
          <t>INSUMO</t>
        </is>
      </c>
      <c r="E165" t="n">
        <v>4.72</v>
      </c>
      <c r="F165" t="b">
        <v>1</v>
      </c>
      <c r="G165" t="b">
        <v>0</v>
      </c>
      <c r="H165" t="n">
        <v>0</v>
      </c>
    </row>
    <row r="166">
      <c r="A166" t="inlineStr">
        <is>
          <t>de622773-cd51-4bb6-a6a8-4e5f26f92d12</t>
        </is>
      </c>
      <c r="B166" t="inlineStr">
        <is>
          <t>Saco cebolla blanca</t>
        </is>
      </c>
      <c r="C166" t="inlineStr">
        <is>
          <t>unidad</t>
        </is>
      </c>
      <c r="D166" t="inlineStr">
        <is>
          <t>Insumo</t>
        </is>
      </c>
      <c r="E166" t="n">
        <v>92</v>
      </c>
      <c r="F166" t="b">
        <v>1</v>
      </c>
      <c r="G166" t="b">
        <v>0</v>
      </c>
      <c r="H166" t="n">
        <v>0</v>
      </c>
    </row>
    <row r="167">
      <c r="A167" t="inlineStr">
        <is>
          <t>969bb8ea-0399-4a39-b292-d184537dcad7</t>
        </is>
      </c>
      <c r="B167" t="inlineStr">
        <is>
          <t>Saco de cebolla morada</t>
        </is>
      </c>
      <c r="C167" t="inlineStr">
        <is>
          <t>unidad</t>
        </is>
      </c>
      <c r="D167" t="inlineStr">
        <is>
          <t>Insumo</t>
        </is>
      </c>
      <c r="E167" t="n">
        <v>92</v>
      </c>
      <c r="F167" t="b">
        <v>1</v>
      </c>
      <c r="G167" t="b">
        <v>0</v>
      </c>
      <c r="H167" t="n">
        <v>0</v>
      </c>
    </row>
    <row r="168">
      <c r="A168" t="inlineStr">
        <is>
          <t>f41aa115-4217-47ef-9565-407cbb641958</t>
        </is>
      </c>
      <c r="B168" t="inlineStr">
        <is>
          <t>Sal de hamburguesa bolsa 2 lbs</t>
        </is>
      </c>
      <c r="C168" t="inlineStr">
        <is>
          <t>bolsa</t>
        </is>
      </c>
      <c r="D168" t="inlineStr">
        <is>
          <t>Salsas y Aderezos</t>
        </is>
      </c>
      <c r="E168" t="n">
        <v>0</v>
      </c>
      <c r="F168" t="b">
        <v>1</v>
      </c>
      <c r="G168" t="b">
        <v>1</v>
      </c>
      <c r="H168" t="n">
        <v>0</v>
      </c>
    </row>
    <row r="169">
      <c r="A169" t="inlineStr">
        <is>
          <t>abd73635-07bb-4103-b9d8-d7031c8b2c71</t>
        </is>
      </c>
      <c r="B169" t="inlineStr">
        <is>
          <t>Sal fina (arroba 25 lb)</t>
        </is>
      </c>
      <c r="C169" t="inlineStr">
        <is>
          <t>g</t>
        </is>
      </c>
      <c r="D169" t="inlineStr">
        <is>
          <t>Insumo Hamburguesa</t>
        </is>
      </c>
      <c r="E169" t="n">
        <v>6.2</v>
      </c>
      <c r="F169" t="b">
        <v>1</v>
      </c>
      <c r="G169" t="b">
        <v>1</v>
      </c>
      <c r="H169" t="n">
        <v>0</v>
      </c>
    </row>
    <row r="170">
      <c r="A170" t="inlineStr">
        <is>
          <t>a4a7b644-64af-4d3b-964d-0a1b5259e2e5</t>
        </is>
      </c>
      <c r="B170" t="inlineStr">
        <is>
          <t>Salchicha Parowsi paquete 25 unidades</t>
        </is>
      </c>
      <c r="C170" t="inlineStr">
        <is>
          <t>paquete</t>
        </is>
      </c>
      <c r="D170" t="inlineStr">
        <is>
          <t>Carnes y Complementos</t>
        </is>
      </c>
      <c r="E170" t="n">
        <v>0</v>
      </c>
      <c r="F170" t="b">
        <v>1</v>
      </c>
      <c r="G170" t="b">
        <v>1</v>
      </c>
      <c r="H170" t="n">
        <v>0</v>
      </c>
    </row>
    <row r="171">
      <c r="A171" t="inlineStr">
        <is>
          <t>f731c1cd-3f90-490a-9fbc-6f9f242f9ff4</t>
        </is>
      </c>
      <c r="B171" t="inlineStr">
        <is>
          <t>Salsa Ketchup galón caja de 4 bolsas</t>
        </is>
      </c>
      <c r="C171" t="inlineStr">
        <is>
          <t>caja</t>
        </is>
      </c>
      <c r="D171" t="inlineStr">
        <is>
          <t>Salsas y Aderezos</t>
        </is>
      </c>
      <c r="E171" t="n">
        <v>0</v>
      </c>
      <c r="F171" t="b">
        <v>1</v>
      </c>
      <c r="G171" t="b">
        <v>1</v>
      </c>
      <c r="H171" t="n">
        <v>0</v>
      </c>
    </row>
    <row r="172">
      <c r="A172" t="inlineStr">
        <is>
          <t>13b1f9f5-199f-446c-a713-c431bcfd6802</t>
        </is>
      </c>
      <c r="B172" t="inlineStr">
        <is>
          <t>Salsa Siracha</t>
        </is>
      </c>
      <c r="C172" t="inlineStr">
        <is>
          <t>cucharada</t>
        </is>
      </c>
      <c r="D172" t="inlineStr">
        <is>
          <t>Salsas y Aderezos</t>
        </is>
      </c>
      <c r="E172" t="n">
        <v>0</v>
      </c>
      <c r="F172" t="b">
        <v>1</v>
      </c>
      <c r="G172" t="b">
        <v>0</v>
      </c>
      <c r="H172" t="n">
        <v>0</v>
      </c>
    </row>
    <row r="173">
      <c r="A173" t="inlineStr">
        <is>
          <t>112013f8-ea6b-44b1-8c72-ff8ec797cebe</t>
        </is>
      </c>
      <c r="B173" t="inlineStr">
        <is>
          <t>Salsa barbacoa</t>
        </is>
      </c>
      <c r="C173" t="inlineStr">
        <is>
          <t>oz</t>
        </is>
      </c>
      <c r="D173" t="inlineStr">
        <is>
          <t>Insumo</t>
        </is>
      </c>
      <c r="E173" t="n">
        <v>7.1</v>
      </c>
      <c r="F173" t="b">
        <v>1</v>
      </c>
      <c r="G173" t="b">
        <v>0</v>
      </c>
      <c r="H173" t="n">
        <v>0</v>
      </c>
    </row>
    <row r="174">
      <c r="A174" t="inlineStr">
        <is>
          <t>963dbc92-3e8f-43ee-9ca4-185fbceec2a2</t>
        </is>
      </c>
      <c r="B174" t="inlineStr">
        <is>
          <t>Salsa jalisco caja 500 sobres</t>
        </is>
      </c>
      <c r="C174" t="inlineStr">
        <is>
          <t>caja</t>
        </is>
      </c>
      <c r="D174" t="inlineStr">
        <is>
          <t>Salsas y Aderezos</t>
        </is>
      </c>
      <c r="E174" t="n">
        <v>0</v>
      </c>
      <c r="F174" t="b">
        <v>1</v>
      </c>
      <c r="G174" t="b">
        <v>1</v>
      </c>
      <c r="H174" t="n">
        <v>0</v>
      </c>
    </row>
    <row r="175">
      <c r="A175" t="inlineStr">
        <is>
          <t>6ebde5cc-e6db-4984-a865-178c29deaeaf</t>
        </is>
      </c>
      <c r="B175" t="inlineStr">
        <is>
          <t>Sazonador Completo MCCormick 2kgs Bolsa</t>
        </is>
      </c>
      <c r="C175" t="inlineStr">
        <is>
          <t>g</t>
        </is>
      </c>
      <c r="D175" t="inlineStr">
        <is>
          <t>Insumo Papas</t>
        </is>
      </c>
      <c r="E175" t="n">
        <v>15.09</v>
      </c>
      <c r="F175" t="b">
        <v>1</v>
      </c>
      <c r="G175" t="b">
        <v>0</v>
      </c>
      <c r="H175" t="n">
        <v>0</v>
      </c>
    </row>
    <row r="176">
      <c r="A176" t="inlineStr">
        <is>
          <t>15329eaa-86e4-4d6f-8fda-d17ec7c51511</t>
        </is>
      </c>
      <c r="B176" t="inlineStr">
        <is>
          <t>Servilleta caja 12 paquetes</t>
        </is>
      </c>
      <c r="C176" t="inlineStr">
        <is>
          <t>caja</t>
        </is>
      </c>
      <c r="D176" t="inlineStr">
        <is>
          <t>Empaques y Desechables</t>
        </is>
      </c>
      <c r="E176" t="n">
        <v>0</v>
      </c>
      <c r="F176" t="b">
        <v>1</v>
      </c>
      <c r="G176" t="b">
        <v>1</v>
      </c>
      <c r="H176" t="n">
        <v>0</v>
      </c>
    </row>
    <row r="177">
      <c r="A177" t="inlineStr">
        <is>
          <t>3a8564b8-2582-4b26-8293-27c8840e396f</t>
        </is>
      </c>
      <c r="B177" t="inlineStr">
        <is>
          <t>Simplot papa laticce 6/5</t>
        </is>
      </c>
      <c r="C177" t="inlineStr">
        <is>
          <t>unidad</t>
        </is>
      </c>
      <c r="D177" t="inlineStr">
        <is>
          <t>Insumo</t>
        </is>
      </c>
      <c r="E177" t="n">
        <v>41.74</v>
      </c>
      <c r="F177" t="b">
        <v>1</v>
      </c>
      <c r="G177" t="b">
        <v>0</v>
      </c>
      <c r="H177" t="n">
        <v>0</v>
      </c>
    </row>
    <row r="178">
      <c r="A178" t="inlineStr">
        <is>
          <t>16d73527-8b48-4a6a-9ad2-c5ccd7b30c6c</t>
        </is>
      </c>
      <c r="B178" t="inlineStr">
        <is>
          <t>Stickers paquete 50 unidades</t>
        </is>
      </c>
      <c r="C178" t="inlineStr">
        <is>
          <t>paquete</t>
        </is>
      </c>
      <c r="D178" t="inlineStr">
        <is>
          <t>Extras</t>
        </is>
      </c>
      <c r="E178" t="n">
        <v>0</v>
      </c>
      <c r="F178" t="b">
        <v>1</v>
      </c>
      <c r="G178" t="b">
        <v>1</v>
      </c>
      <c r="H178" t="n">
        <v>0</v>
      </c>
    </row>
    <row r="179">
      <c r="A179" t="inlineStr">
        <is>
          <t>22a48a89-acc8-4e59-871d-b827f99b950e</t>
        </is>
      </c>
      <c r="B179" t="inlineStr">
        <is>
          <t>Tapa Strawless para vaso 12/16 oz</t>
        </is>
      </c>
      <c r="C179" t="inlineStr">
        <is>
          <t>unidad</t>
        </is>
      </c>
      <c r="D179" t="inlineStr">
        <is>
          <t>Insumo</t>
        </is>
      </c>
      <c r="E179" t="n">
        <v>0.03</v>
      </c>
      <c r="F179" t="b">
        <v>1</v>
      </c>
      <c r="G179" t="b">
        <v>0</v>
      </c>
      <c r="H179" t="n">
        <v>0</v>
      </c>
    </row>
    <row r="180">
      <c r="A180" t="inlineStr">
        <is>
          <t>e62658b4-4ea5-4fe9-b3da-59f236ecf33f</t>
        </is>
      </c>
      <c r="B180" t="inlineStr">
        <is>
          <t>Tapadera 2 onzas</t>
        </is>
      </c>
      <c r="C180" t="inlineStr">
        <is>
          <t>unidad</t>
        </is>
      </c>
      <c r="D180" t="inlineStr">
        <is>
          <t>Insumo</t>
        </is>
      </c>
      <c r="E180" t="n">
        <v>11.5</v>
      </c>
      <c r="F180" t="b">
        <v>1</v>
      </c>
      <c r="G180" t="b">
        <v>0</v>
      </c>
      <c r="H180" t="n">
        <v>0</v>
      </c>
    </row>
    <row r="181">
      <c r="A181" t="inlineStr">
        <is>
          <t>e042438b-962c-4bfa-b24a-70bce877a094</t>
        </is>
      </c>
      <c r="B181" t="inlineStr">
        <is>
          <t>Tapas de chili caja 1000 piezas</t>
        </is>
      </c>
      <c r="C181" t="inlineStr">
        <is>
          <t>caja</t>
        </is>
      </c>
      <c r="D181" t="inlineStr">
        <is>
          <t>Empaques y Desechables</t>
        </is>
      </c>
      <c r="E181" t="n">
        <v>0</v>
      </c>
      <c r="F181" t="b">
        <v>1</v>
      </c>
      <c r="G181" t="b">
        <v>1</v>
      </c>
      <c r="H181" t="n">
        <v>0</v>
      </c>
    </row>
    <row r="182">
      <c r="A182" t="inlineStr">
        <is>
          <t>ac19b960-11de-48fe-8dbe-c4e3d0cd47d7</t>
        </is>
      </c>
      <c r="B182" t="inlineStr">
        <is>
          <t>Tapas de tocino caja 1000 piezas</t>
        </is>
      </c>
      <c r="C182" t="inlineStr">
        <is>
          <t>caja</t>
        </is>
      </c>
      <c r="D182" t="inlineStr">
        <is>
          <t>Empaques y Desechables</t>
        </is>
      </c>
      <c r="E182" t="n">
        <v>0</v>
      </c>
      <c r="F182" t="b">
        <v>1</v>
      </c>
      <c r="G182" t="b">
        <v>1</v>
      </c>
      <c r="H182" t="n">
        <v>0</v>
      </c>
    </row>
    <row r="183">
      <c r="A183" t="inlineStr">
        <is>
          <t>147460af-a2ca-4a5e-89e0-7cda3df3cc97</t>
        </is>
      </c>
      <c r="B183" t="inlineStr">
        <is>
          <t>Tenedor pequeño paquete 24 bolsitas</t>
        </is>
      </c>
      <c r="C183" t="inlineStr">
        <is>
          <t>paquete</t>
        </is>
      </c>
      <c r="D183" t="inlineStr">
        <is>
          <t>Empaques y Desechables</t>
        </is>
      </c>
      <c r="E183" t="n">
        <v>0</v>
      </c>
      <c r="F183" t="b">
        <v>1</v>
      </c>
      <c r="G183" t="b">
        <v>1</v>
      </c>
      <c r="H183" t="n">
        <v>0</v>
      </c>
    </row>
    <row r="184">
      <c r="A184" t="inlineStr">
        <is>
          <t>5b95003d-9d4e-49dd-8ff4-840e4b6818a1</t>
        </is>
      </c>
      <c r="B184" t="inlineStr">
        <is>
          <t>Toalla P/manos natural sanitisu 6x240 mts</t>
        </is>
      </c>
      <c r="C184" t="inlineStr">
        <is>
          <t>unidad</t>
        </is>
      </c>
      <c r="D184" t="inlineStr">
        <is>
          <t>Inssumos</t>
        </is>
      </c>
      <c r="E184" t="n">
        <v>31.35</v>
      </c>
      <c r="F184" t="b">
        <v>1</v>
      </c>
      <c r="G184" t="b">
        <v>0</v>
      </c>
      <c r="H184" t="n">
        <v>0</v>
      </c>
    </row>
    <row r="185">
      <c r="A185" t="inlineStr">
        <is>
          <t>47852c86-3c08-4e46-838d-c2ad586e9cf2</t>
        </is>
      </c>
      <c r="B185" t="inlineStr">
        <is>
          <t>Toallas Franelas unidad</t>
        </is>
      </c>
      <c r="C185" t="inlineStr">
        <is>
          <t>unidad</t>
        </is>
      </c>
      <c r="D185" t="inlineStr">
        <is>
          <t>Empaques y Desechables</t>
        </is>
      </c>
      <c r="E185" t="n">
        <v>0</v>
      </c>
      <c r="F185" t="b">
        <v>1</v>
      </c>
      <c r="G185" t="b">
        <v>1</v>
      </c>
      <c r="H185" t="n">
        <v>0</v>
      </c>
    </row>
    <row r="186">
      <c r="A186" t="inlineStr">
        <is>
          <t>21f6b200-3a46-4db4-afa6-37ef2483cd84</t>
        </is>
      </c>
      <c r="B186" t="inlineStr">
        <is>
          <t>Tocino Ahumado Chimex paquete</t>
        </is>
      </c>
      <c r="C186" t="inlineStr">
        <is>
          <t>paquete</t>
        </is>
      </c>
      <c r="D186" t="inlineStr">
        <is>
          <t>Carnes y Complementos</t>
        </is>
      </c>
      <c r="E186" t="n">
        <v>0</v>
      </c>
      <c r="F186" t="b">
        <v>1</v>
      </c>
      <c r="G186" t="b">
        <v>1</v>
      </c>
      <c r="H186" t="n">
        <v>0</v>
      </c>
    </row>
    <row r="187">
      <c r="A187" t="inlineStr">
        <is>
          <t>0207f18f-b3d6-42c2-97f6-d43e6b0cd978</t>
        </is>
      </c>
      <c r="B187" t="inlineStr">
        <is>
          <t>Truffa bolsa</t>
        </is>
      </c>
      <c r="C187" t="inlineStr">
        <is>
          <t>bolsa</t>
        </is>
      </c>
      <c r="D187" t="inlineStr">
        <is>
          <t>Salsas y Aderezos</t>
        </is>
      </c>
      <c r="E187" t="n">
        <v>0</v>
      </c>
      <c r="F187" t="b">
        <v>1</v>
      </c>
      <c r="G187" t="b">
        <v>1</v>
      </c>
      <c r="H187" t="n">
        <v>0</v>
      </c>
    </row>
    <row r="188">
      <c r="A188" t="inlineStr">
        <is>
          <t>ad9a632f-966e-4cf3-b22b-01f5f1c8d855</t>
        </is>
      </c>
      <c r="B188" t="inlineStr">
        <is>
          <t>Vaso Transparente pet 16 onz</t>
        </is>
      </c>
      <c r="C188" t="inlineStr">
        <is>
          <t>unidad</t>
        </is>
      </c>
      <c r="D188" t="inlineStr">
        <is>
          <t>insumo</t>
        </is>
      </c>
      <c r="E188" t="n">
        <v>0.07000000000000001</v>
      </c>
      <c r="F188" t="b">
        <v>1</v>
      </c>
      <c r="G188" t="b">
        <v>0</v>
      </c>
      <c r="H188" t="n">
        <v>0</v>
      </c>
    </row>
    <row r="189">
      <c r="A189" t="inlineStr">
        <is>
          <t>886fbddd-f807-41ea-b345-bcbca7390a8f</t>
        </is>
      </c>
      <c r="B189" t="inlineStr">
        <is>
          <t>Vasos Desechables paquete 50 unidades</t>
        </is>
      </c>
      <c r="C189" t="inlineStr">
        <is>
          <t>paquete</t>
        </is>
      </c>
      <c r="D189" t="inlineStr">
        <is>
          <t>Empaques y Desechables</t>
        </is>
      </c>
      <c r="E189" t="n">
        <v>0</v>
      </c>
      <c r="F189" t="b">
        <v>1</v>
      </c>
      <c r="G189" t="b">
        <v>1</v>
      </c>
      <c r="H189" t="n">
        <v>0</v>
      </c>
    </row>
    <row r="190">
      <c r="A190" t="inlineStr">
        <is>
          <t>0d34c1d8-1566-48cb-81cd-3e0969434f2a</t>
        </is>
      </c>
      <c r="B190" t="inlineStr">
        <is>
          <t>Vinagre el negrito galón</t>
        </is>
      </c>
      <c r="C190" t="inlineStr">
        <is>
          <t>galón</t>
        </is>
      </c>
      <c r="D190" t="inlineStr">
        <is>
          <t>Salsas y Aderezos</t>
        </is>
      </c>
      <c r="E190" t="n">
        <v>0</v>
      </c>
      <c r="F190" t="b">
        <v>1</v>
      </c>
      <c r="G190" t="b">
        <v>1</v>
      </c>
      <c r="H190" t="n">
        <v>0</v>
      </c>
    </row>
    <row r="191">
      <c r="A191" t="inlineStr">
        <is>
          <t>ddef5c9e-8337-4a16-946c-c31e5b398c85</t>
        </is>
      </c>
      <c r="B191" t="inlineStr">
        <is>
          <t>Vinagre en Galon</t>
        </is>
      </c>
      <c r="C191" t="inlineStr">
        <is>
          <t>litro</t>
        </is>
      </c>
      <c r="D191" t="inlineStr">
        <is>
          <t>Insumo Cocina</t>
        </is>
      </c>
      <c r="E191" t="n">
        <v>1.77</v>
      </c>
      <c r="F191" t="b">
        <v>1</v>
      </c>
      <c r="G191" t="b">
        <v>0</v>
      </c>
      <c r="H191" t="n">
        <v>0</v>
      </c>
    </row>
    <row r="192">
      <c r="A192" t="inlineStr">
        <is>
          <t>a3b37e8d-262e-42e7-b65d-309b4658b8fb</t>
        </is>
      </c>
      <c r="B192" t="inlineStr">
        <is>
          <t>Vinyl ultraflex gris brillante</t>
        </is>
      </c>
      <c r="C192" t="inlineStr">
        <is>
          <t>unidad</t>
        </is>
      </c>
      <c r="D192" t="inlineStr">
        <is>
          <t>Insumo</t>
        </is>
      </c>
      <c r="E192" t="n">
        <v>7.05</v>
      </c>
      <c r="F192" t="b">
        <v>1</v>
      </c>
      <c r="G192" t="b">
        <v>0</v>
      </c>
      <c r="H192" t="n">
        <v>0</v>
      </c>
    </row>
    <row r="193">
      <c r="A193" t="inlineStr">
        <is>
          <t>612b4290-e203-4dc7-983e-78966a5ffe39</t>
        </is>
      </c>
      <c r="B193" t="inlineStr">
        <is>
          <t>Zanahoria</t>
        </is>
      </c>
      <c r="C193" t="inlineStr">
        <is>
          <t>unidad</t>
        </is>
      </c>
      <c r="D193" t="inlineStr">
        <is>
          <t>Insumo</t>
        </is>
      </c>
      <c r="E193" t="n">
        <v>12</v>
      </c>
      <c r="F193" t="b">
        <v>1</v>
      </c>
      <c r="G193" t="b">
        <v>0</v>
      </c>
      <c r="H193" t="n">
        <v>0</v>
      </c>
    </row>
    <row r="194">
      <c r="A194" t="inlineStr">
        <is>
          <t>4caa7913-5004-4ca7-9b0c-8595155d9336</t>
        </is>
      </c>
      <c r="B194" t="inlineStr">
        <is>
          <t>tenedor gande superpac blanco 5x40x25</t>
        </is>
      </c>
      <c r="C194" t="inlineStr">
        <is>
          <t>unidad</t>
        </is>
      </c>
      <c r="D194" t="inlineStr">
        <is>
          <t>insumo</t>
        </is>
      </c>
      <c r="E194" t="n">
        <v>0.25</v>
      </c>
      <c r="F194" t="b">
        <v>1</v>
      </c>
      <c r="G194" t="b">
        <v>0</v>
      </c>
      <c r="H194" t="n">
        <v>0</v>
      </c>
    </row>
  </sheetData>
  <autoFilter ref="A2:H1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3"/>
  <sheetViews>
    <sheetView workbookViewId="0">
      <pane ySplit="2" topLeftCell="A3" activePane="bottomLeft" state="frozen"/>
      <selection pane="bottomLeft" activeCell="A1" sqref="A1"/>
    </sheetView>
  </sheetViews>
  <sheetFormatPr baseColWidth="8" defaultRowHeight="15"/>
  <cols>
    <col width="32" customWidth="1" min="1" max="1"/>
    <col width="50" customWidth="1" min="2" max="2"/>
    <col width="25" customWidth="1" min="3" max="3"/>
    <col width="24" customWidth="1" min="4" max="4"/>
    <col width="50" customWidth="1" min="5" max="5"/>
    <col width="26" customWidth="1" min="6" max="6"/>
    <col width="48" customWidth="1" min="7" max="7"/>
    <col width="24" customWidth="1" min="8" max="8"/>
    <col width="34" customWidth="1" min="9" max="9"/>
  </cols>
  <sheetData>
    <row r="1" ht="35" customHeight="1">
      <c r="A1" s="1" t="inlineStr">
        <is>
          <t>Nombre del sub-producto</t>
        </is>
      </c>
      <c r="B1" s="1" t="inlineStr">
        <is>
          <t>Ingrediente (seleccionar de lista Materia Prima)</t>
        </is>
      </c>
      <c r="C1" s="1" t="inlineStr">
        <is>
          <t>Cantidad por lote/tanda</t>
        </is>
      </c>
      <c r="D1" s="1" t="inlineStr">
        <is>
          <t>Unidad del ingrediente</t>
        </is>
      </c>
      <c r="E1" s="1">
        <f> BUSCARV del precio desde Materia Prima</f>
        <v/>
      </c>
      <c r="F1" s="1">
        <f> cantidad × precio_unit</f>
        <v/>
      </c>
      <c r="G1" s="1" t="inlineStr">
        <is>
          <t>Rendimiento (cuántas porciones salen del lote)</t>
        </is>
      </c>
      <c r="H1" s="1" t="inlineStr">
        <is>
          <t>Unidad del rendimiento</t>
        </is>
      </c>
      <c r="I1" s="1">
        <f> costo_total_lote / rendimiento</f>
        <v/>
      </c>
    </row>
    <row r="2">
      <c r="A2" s="2" t="inlineStr">
        <is>
          <t>sub_producto</t>
        </is>
      </c>
      <c r="B2" s="2" t="inlineStr">
        <is>
          <t>ingrediente</t>
        </is>
      </c>
      <c r="C2" s="2" t="inlineStr">
        <is>
          <t>cantidad</t>
        </is>
      </c>
      <c r="D2" s="2" t="inlineStr">
        <is>
          <t>unidad</t>
        </is>
      </c>
      <c r="E2" s="2" t="inlineStr">
        <is>
          <t>precio_unit</t>
        </is>
      </c>
      <c r="F2" s="2" t="inlineStr">
        <is>
          <t>costo_linea</t>
        </is>
      </c>
      <c r="G2" s="2" t="inlineStr">
        <is>
          <t>rendimiento</t>
        </is>
      </c>
      <c r="H2" s="2" t="inlineStr">
        <is>
          <t>unidad_rend</t>
        </is>
      </c>
      <c r="I2" s="2" t="inlineStr">
        <is>
          <t>costo_por_porcion</t>
        </is>
      </c>
    </row>
    <row r="3">
      <c r="A3" s="3" t="inlineStr">
        <is>
          <t>Cebolla Blanca</t>
        </is>
      </c>
      <c r="B3" s="4" t="n"/>
      <c r="C3" s="4" t="n"/>
      <c r="D3" s="4" t="n"/>
      <c r="E3" s="4" t="n"/>
      <c r="F3" s="4" t="n"/>
      <c r="G3" s="4" t="n">
        <v>10</v>
      </c>
      <c r="H3" s="4" t="inlineStr">
        <is>
          <t>bolsa</t>
        </is>
      </c>
      <c r="I3" s="4" t="n"/>
    </row>
    <row r="4">
      <c r="B4" s="5" t="inlineStr">
        <is>
          <t>Cebollas Blancas</t>
        </is>
      </c>
      <c r="C4" t="n">
        <v>20</v>
      </c>
      <c r="D4" t="inlineStr">
        <is>
          <t>unidad</t>
        </is>
      </c>
      <c r="E4" s="6">
        <f>IFERROR(VLOOKUP(B4,'Materia Prima'!B:E,4,FALSE),0)</f>
        <v/>
      </c>
      <c r="F4" s="6">
        <f>C4*E4</f>
        <v/>
      </c>
    </row>
    <row r="5">
      <c r="A5" s="7" t="inlineStr">
        <is>
          <t>TOTAL</t>
        </is>
      </c>
      <c r="B5" s="4" t="n"/>
      <c r="C5" s="4" t="n"/>
      <c r="D5" s="4" t="n"/>
      <c r="E5" s="4" t="n"/>
      <c r="F5" s="8">
        <f>SUM(F4:F4)</f>
        <v/>
      </c>
      <c r="G5" s="4" t="n">
        <v>10</v>
      </c>
      <c r="H5" s="4" t="n"/>
      <c r="I5" s="9">
        <f>IF(G5&gt;0,F5/G5,0)</f>
        <v/>
      </c>
    </row>
    <row r="6"/>
    <row r="7">
      <c r="A7" s="3" t="inlineStr">
        <is>
          <t>Cebolla Morada</t>
        </is>
      </c>
      <c r="B7" s="4" t="n"/>
      <c r="C7" s="4" t="n"/>
      <c r="D7" s="4" t="n"/>
      <c r="E7" s="4" t="n"/>
      <c r="F7" s="4" t="n"/>
      <c r="G7" s="4" t="n">
        <v>20</v>
      </c>
      <c r="H7" s="4" t="inlineStr">
        <is>
          <t>tanda</t>
        </is>
      </c>
      <c r="I7" s="4" t="n"/>
    </row>
    <row r="8">
      <c r="B8" s="5" t="inlineStr">
        <is>
          <t>Vinagre en Galon</t>
        </is>
      </c>
      <c r="C8" t="n">
        <v>150</v>
      </c>
      <c r="D8" t="inlineStr">
        <is>
          <t>litro</t>
        </is>
      </c>
      <c r="E8" s="6">
        <f>IFERROR(VLOOKUP(B8,'Materia Prima'!B:E,4,FALSE),0)</f>
        <v/>
      </c>
      <c r="F8" s="6">
        <f>C8*E8</f>
        <v/>
      </c>
    </row>
    <row r="9">
      <c r="B9" s="5" t="inlineStr">
        <is>
          <t>Cebolla morada (saco 50 lb)</t>
        </is>
      </c>
      <c r="C9" t="n">
        <v>1</v>
      </c>
      <c r="D9" t="inlineStr">
        <is>
          <t>lb</t>
        </is>
      </c>
      <c r="E9" s="6">
        <f>IFERROR(VLOOKUP(B9,'Materia Prima'!B:E,4,FALSE),0)</f>
        <v/>
      </c>
      <c r="F9" s="6">
        <f>C9*E9</f>
        <v/>
      </c>
    </row>
    <row r="10">
      <c r="B10" s="5" t="inlineStr">
        <is>
          <t>Bolsa de hielo 5 lbs</t>
        </is>
      </c>
      <c r="C10" t="n">
        <v>1</v>
      </c>
      <c r="D10" t="inlineStr">
        <is>
          <t>bolsa</t>
        </is>
      </c>
      <c r="E10" s="6">
        <f>IFERROR(VLOOKUP(B10,'Materia Prima'!B:E,4,FALSE),0)</f>
        <v/>
      </c>
      <c r="F10" s="6">
        <f>C10*E10</f>
        <v/>
      </c>
    </row>
    <row r="11">
      <c r="A11" s="7" t="inlineStr">
        <is>
          <t>TOTAL</t>
        </is>
      </c>
      <c r="B11" s="4" t="n"/>
      <c r="C11" s="4" t="n"/>
      <c r="D11" s="4" t="n"/>
      <c r="E11" s="4" t="n"/>
      <c r="F11" s="8">
        <f>SUM(F8:F10)</f>
        <v/>
      </c>
      <c r="G11" s="4" t="n">
        <v>20</v>
      </c>
      <c r="H11" s="4" t="n"/>
      <c r="I11" s="9">
        <f>IF(G11&gt;0,F11/G11,0)</f>
        <v/>
      </c>
    </row>
    <row r="12"/>
    <row r="13">
      <c r="A13" s="3" t="inlineStr">
        <is>
          <t>Cheddar Porcionado (Bolsa 2lb)</t>
        </is>
      </c>
      <c r="B13" s="4" t="n"/>
      <c r="C13" s="4" t="n"/>
      <c r="D13" s="4" t="n"/>
      <c r="E13" s="4" t="n"/>
      <c r="F13" s="4" t="n"/>
      <c r="G13" s="4" t="n">
        <v>3</v>
      </c>
      <c r="H13" s="4" t="inlineStr">
        <is>
          <t>bolsa</t>
        </is>
      </c>
      <c r="I13" s="4" t="n"/>
    </row>
    <row r="14">
      <c r="B14" s="5" t="inlineStr">
        <is>
          <t>Cheddar Lata</t>
        </is>
      </c>
      <c r="C14" t="n">
        <v>1</v>
      </c>
      <c r="D14" t="inlineStr">
        <is>
          <t>lata</t>
        </is>
      </c>
      <c r="E14" s="6">
        <f>IFERROR(VLOOKUP(B14,'Materia Prima'!B:E,4,FALSE),0)</f>
        <v/>
      </c>
      <c r="F14" s="6">
        <f>C14*E14</f>
        <v/>
      </c>
    </row>
    <row r="15">
      <c r="A15" s="7" t="inlineStr">
        <is>
          <t>TOTAL</t>
        </is>
      </c>
      <c r="B15" s="4" t="n"/>
      <c r="C15" s="4" t="n"/>
      <c r="D15" s="4" t="n"/>
      <c r="E15" s="4" t="n"/>
      <c r="F15" s="8">
        <f>SUM(F14:F14)</f>
        <v/>
      </c>
      <c r="G15" s="4" t="n">
        <v>3</v>
      </c>
      <c r="H15" s="4" t="n"/>
      <c r="I15" s="9">
        <f>IF(G15&gt;0,F15/G15,0)</f>
        <v/>
      </c>
    </row>
    <row r="16"/>
    <row r="17">
      <c r="A17" s="3" t="inlineStr">
        <is>
          <t>Chili</t>
        </is>
      </c>
      <c r="B17" s="4" t="n"/>
      <c r="C17" s="4" t="n"/>
      <c r="D17" s="4" t="n"/>
      <c r="E17" s="4" t="n"/>
      <c r="F17" s="4" t="n"/>
      <c r="G17" s="4" t="n">
        <v>4</v>
      </c>
      <c r="H17" s="4" t="inlineStr">
        <is>
          <t>bolsa</t>
        </is>
      </c>
      <c r="I17" s="4" t="n"/>
    </row>
    <row r="18">
      <c r="B18" s="5" t="inlineStr">
        <is>
          <t>326235 Azucar Morena</t>
        </is>
      </c>
      <c r="C18" t="n">
        <v>1.35</v>
      </c>
      <c r="D18" t="inlineStr">
        <is>
          <t>g</t>
        </is>
      </c>
      <c r="E18" s="6">
        <f>IFERROR(VLOOKUP(B18,'Materia Prima'!B:E,4,FALSE),0)</f>
        <v/>
      </c>
      <c r="F18" s="6">
        <f>C18*E18</f>
        <v/>
      </c>
    </row>
    <row r="19">
      <c r="B19" s="5" t="inlineStr">
        <is>
          <t>Chile Chipotle Adobado 24/380 GR</t>
        </is>
      </c>
      <c r="C19" t="n">
        <v>2</v>
      </c>
      <c r="D19" t="inlineStr">
        <is>
          <t>lata</t>
        </is>
      </c>
      <c r="E19" s="6">
        <f>IFERROR(VLOOKUP(B19,'Materia Prima'!B:E,4,FALSE),0)</f>
        <v/>
      </c>
      <c r="F19" s="6">
        <f>C19*E19</f>
        <v/>
      </c>
    </row>
    <row r="20">
      <c r="B20" s="5" t="inlineStr">
        <is>
          <t>Cebollas Blancas</t>
        </is>
      </c>
      <c r="C20" t="n">
        <v>2</v>
      </c>
      <c r="D20" t="inlineStr">
        <is>
          <t>unidad</t>
        </is>
      </c>
      <c r="E20" s="6">
        <f>IFERROR(VLOOKUP(B20,'Materia Prima'!B:E,4,FALSE),0)</f>
        <v/>
      </c>
      <c r="F20" s="6">
        <f>C20*E20</f>
        <v/>
      </c>
    </row>
    <row r="21">
      <c r="B21" s="5" t="inlineStr">
        <is>
          <t>Zanahoria</t>
        </is>
      </c>
      <c r="C21" t="n">
        <v>1</v>
      </c>
      <c r="D21" t="inlineStr">
        <is>
          <t>unidad</t>
        </is>
      </c>
      <c r="E21" s="6">
        <f>IFERROR(VLOOKUP(B21,'Materia Prima'!B:E,4,FALSE),0)</f>
        <v/>
      </c>
      <c r="F21" s="6">
        <f>C21*E21</f>
        <v/>
      </c>
    </row>
    <row r="22">
      <c r="B22" s="5" t="inlineStr">
        <is>
          <t>55334 MS Paprika</t>
        </is>
      </c>
      <c r="C22" t="n">
        <v>20</v>
      </c>
      <c r="D22" t="inlineStr">
        <is>
          <t>g</t>
        </is>
      </c>
      <c r="E22" s="6">
        <f>IFERROR(VLOOKUP(B22,'Materia Prima'!B:E,4,FALSE),0)</f>
        <v/>
      </c>
      <c r="F22" s="6">
        <f>C22*E22</f>
        <v/>
      </c>
    </row>
    <row r="23">
      <c r="B23" s="5" t="inlineStr">
        <is>
          <t>55331 Pimienta Molida</t>
        </is>
      </c>
      <c r="C23" t="n">
        <v>1.35</v>
      </c>
      <c r="D23" t="inlineStr">
        <is>
          <t>g</t>
        </is>
      </c>
      <c r="E23" s="6">
        <f>IFERROR(VLOOKUP(B23,'Materia Prima'!B:E,4,FALSE),0)</f>
        <v/>
      </c>
      <c r="F23" s="6">
        <f>C23*E23</f>
        <v/>
      </c>
    </row>
    <row r="24">
      <c r="B24" s="5" t="inlineStr">
        <is>
          <t>Vinagre en Galon</t>
        </is>
      </c>
      <c r="C24" t="n">
        <v>0.25</v>
      </c>
      <c r="D24" t="inlineStr">
        <is>
          <t>litro</t>
        </is>
      </c>
      <c r="E24" s="6">
        <f>IFERROR(VLOOKUP(B24,'Materia Prima'!B:E,4,FALSE),0)</f>
        <v/>
      </c>
      <c r="F24" s="6">
        <f>C24*E24</f>
        <v/>
      </c>
    </row>
    <row r="25">
      <c r="B25" s="5" t="inlineStr">
        <is>
          <t>Chile Molido</t>
        </is>
      </c>
      <c r="C25" t="n">
        <v>3</v>
      </c>
      <c r="D25" t="inlineStr">
        <is>
          <t>cucharada</t>
        </is>
      </c>
      <c r="E25" s="6">
        <f>IFERROR(VLOOKUP(B25,'Materia Prima'!B:E,4,FALSE),0)</f>
        <v/>
      </c>
      <c r="F25" s="6">
        <f>C25*E25</f>
        <v/>
      </c>
    </row>
    <row r="26">
      <c r="B26" s="5" t="inlineStr">
        <is>
          <t>Polvo de Hongo</t>
        </is>
      </c>
      <c r="C26" t="n">
        <v>1</v>
      </c>
      <c r="D26" t="inlineStr">
        <is>
          <t>cucharadita</t>
        </is>
      </c>
      <c r="E26" s="6">
        <f>IFERROR(VLOOKUP(B26,'Materia Prima'!B:E,4,FALSE),0)</f>
        <v/>
      </c>
      <c r="F26" s="6">
        <f>C26*E26</f>
        <v/>
      </c>
    </row>
    <row r="27">
      <c r="B27" s="5" t="inlineStr">
        <is>
          <t>Caldo de Res en Polvo</t>
        </is>
      </c>
      <c r="C27" t="n">
        <v>2</v>
      </c>
      <c r="D27" t="inlineStr">
        <is>
          <t>cucharada</t>
        </is>
      </c>
      <c r="E27" s="6">
        <f>IFERROR(VLOOKUP(B27,'Materia Prima'!B:E,4,FALSE),0)</f>
        <v/>
      </c>
      <c r="F27" s="6">
        <f>C27*E27</f>
        <v/>
      </c>
    </row>
    <row r="28">
      <c r="B28" s="5" t="inlineStr">
        <is>
          <t>524550 Ajo Granulado</t>
        </is>
      </c>
      <c r="C28" t="n">
        <v>8</v>
      </c>
      <c r="D28" t="inlineStr">
        <is>
          <t>g</t>
        </is>
      </c>
      <c r="E28" s="6">
        <f>IFERROR(VLOOKUP(B28,'Materia Prima'!B:E,4,FALSE),0)</f>
        <v/>
      </c>
      <c r="F28" s="6">
        <f>C28*E28</f>
        <v/>
      </c>
    </row>
    <row r="29">
      <c r="B29" s="5" t="inlineStr">
        <is>
          <t>535 Gran Onion</t>
        </is>
      </c>
      <c r="C29" t="n">
        <v>8</v>
      </c>
      <c r="D29" t="inlineStr">
        <is>
          <t>g</t>
        </is>
      </c>
      <c r="E29" s="6">
        <f>IFERROR(VLOOKUP(B29,'Materia Prima'!B:E,4,FALSE),0)</f>
        <v/>
      </c>
      <c r="F29" s="6">
        <f>C29*E29</f>
        <v/>
      </c>
    </row>
    <row r="30">
      <c r="B30" s="5" t="inlineStr">
        <is>
          <t>30204 Oregano</t>
        </is>
      </c>
      <c r="C30" t="n">
        <v>1.35</v>
      </c>
      <c r="D30" t="inlineStr">
        <is>
          <t>g</t>
        </is>
      </c>
      <c r="E30" s="6">
        <f>IFERROR(VLOOKUP(B30,'Materia Prima'!B:E,4,FALSE),0)</f>
        <v/>
      </c>
      <c r="F30" s="6">
        <f>C30*E30</f>
        <v/>
      </c>
    </row>
    <row r="31">
      <c r="B31" s="5" t="inlineStr">
        <is>
          <t>Frijol Entero Negro La Sierra 12/560 GR</t>
        </is>
      </c>
      <c r="C31" t="n">
        <v>2</v>
      </c>
      <c r="D31" t="inlineStr">
        <is>
          <t>lata</t>
        </is>
      </c>
      <c r="E31" s="6">
        <f>IFERROR(VLOOKUP(B31,'Materia Prima'!B:E,4,FALSE),0)</f>
        <v/>
      </c>
      <c r="F31" s="6">
        <f>C31*E31</f>
        <v/>
      </c>
    </row>
    <row r="32">
      <c r="B32" s="5" t="inlineStr">
        <is>
          <t>Frijol Entero Bayo La Sierra 12/560 GR</t>
        </is>
      </c>
      <c r="C32" t="n">
        <v>2</v>
      </c>
      <c r="D32" t="inlineStr">
        <is>
          <t>lata</t>
        </is>
      </c>
      <c r="E32" s="6">
        <f>IFERROR(VLOOKUP(B32,'Materia Prima'!B:E,4,FALSE),0)</f>
        <v/>
      </c>
      <c r="F32" s="6">
        <f>C32*E32</f>
        <v/>
      </c>
    </row>
    <row r="33">
      <c r="B33" s="5" t="inlineStr">
        <is>
          <t>Chile Verde Mercado</t>
        </is>
      </c>
      <c r="C33" t="n">
        <v>1</v>
      </c>
      <c r="D33" t="inlineStr">
        <is>
          <t>Unidad</t>
        </is>
      </c>
      <c r="E33" s="6">
        <f>IFERROR(VLOOKUP(B33,'Materia Prima'!B:E,4,FALSE),0)</f>
        <v/>
      </c>
      <c r="F33" s="6">
        <f>C33*E33</f>
        <v/>
      </c>
    </row>
    <row r="34">
      <c r="B34" s="5" t="inlineStr">
        <is>
          <t>Molida 90/10</t>
        </is>
      </c>
      <c r="C34" t="n">
        <v>4</v>
      </c>
      <c r="D34" t="inlineStr">
        <is>
          <t>lb</t>
        </is>
      </c>
      <c r="E34" s="6">
        <f>IFERROR(VLOOKUP(B34,'Materia Prima'!B:E,4,FALSE),0)</f>
        <v/>
      </c>
      <c r="F34" s="6">
        <f>C34*E34</f>
        <v/>
      </c>
    </row>
    <row r="35">
      <c r="B35" s="5" t="inlineStr">
        <is>
          <t>Comino Molido</t>
        </is>
      </c>
      <c r="C35" t="n">
        <v>0.5</v>
      </c>
      <c r="D35" t="inlineStr">
        <is>
          <t>cucharadita</t>
        </is>
      </c>
      <c r="E35" s="6">
        <f>IFERROR(VLOOKUP(B35,'Materia Prima'!B:E,4,FALSE),0)</f>
        <v/>
      </c>
      <c r="F35" s="6">
        <f>C35*E35</f>
        <v/>
      </c>
    </row>
    <row r="36">
      <c r="B36" s="5" t="inlineStr">
        <is>
          <t>Cocoa en Polvo</t>
        </is>
      </c>
      <c r="C36" t="n">
        <v>0.5</v>
      </c>
      <c r="D36" t="inlineStr">
        <is>
          <t>cucharadita</t>
        </is>
      </c>
      <c r="E36" s="6">
        <f>IFERROR(VLOOKUP(B36,'Materia Prima'!B:E,4,FALSE),0)</f>
        <v/>
      </c>
      <c r="F36" s="6">
        <f>C36*E36</f>
        <v/>
      </c>
    </row>
    <row r="37">
      <c r="B37" s="5" t="inlineStr">
        <is>
          <t>1250 Tomates</t>
        </is>
      </c>
      <c r="C37" t="n">
        <v>1</v>
      </c>
      <c r="D37" t="inlineStr">
        <is>
          <t>lata</t>
        </is>
      </c>
      <c r="E37" s="6">
        <f>IFERROR(VLOOKUP(B37,'Materia Prima'!B:E,4,FALSE),0)</f>
        <v/>
      </c>
      <c r="F37" s="6">
        <f>C37*E37</f>
        <v/>
      </c>
    </row>
    <row r="38">
      <c r="B38" s="5" t="inlineStr">
        <is>
          <t>Acido Citrico</t>
        </is>
      </c>
      <c r="C38" t="n">
        <v>1.35</v>
      </c>
      <c r="D38" t="inlineStr">
        <is>
          <t>g</t>
        </is>
      </c>
      <c r="E38" s="6">
        <f>IFERROR(VLOOKUP(B38,'Materia Prima'!B:E,4,FALSE),0)</f>
        <v/>
      </c>
      <c r="F38" s="6">
        <f>C38*E38</f>
        <v/>
      </c>
    </row>
    <row r="39">
      <c r="B39" s="5" t="inlineStr">
        <is>
          <t>Acido Ascorbico</t>
        </is>
      </c>
      <c r="C39" t="n">
        <v>0.00135</v>
      </c>
      <c r="D39" t="inlineStr">
        <is>
          <t>kg</t>
        </is>
      </c>
      <c r="E39" s="6">
        <f>IFERROR(VLOOKUP(B39,'Materia Prima'!B:E,4,FALSE),0)</f>
        <v/>
      </c>
      <c r="F39" s="6">
        <f>C39*E39</f>
        <v/>
      </c>
    </row>
    <row r="40">
      <c r="A40" s="7" t="inlineStr">
        <is>
          <t>TOTAL</t>
        </is>
      </c>
      <c r="B40" s="4" t="n"/>
      <c r="C40" s="4" t="n"/>
      <c r="D40" s="4" t="n"/>
      <c r="E40" s="4" t="n"/>
      <c r="F40" s="8">
        <f>SUM(F18:F39)</f>
        <v/>
      </c>
      <c r="G40" s="4" t="n">
        <v>4</v>
      </c>
      <c r="H40" s="4" t="n"/>
      <c r="I40" s="9">
        <f>IF(G40&gt;0,F40/G40,0)</f>
        <v/>
      </c>
    </row>
    <row r="41"/>
    <row r="42">
      <c r="A42" s="3" t="inlineStr">
        <is>
          <t>Escabeche</t>
        </is>
      </c>
      <c r="B42" s="4" t="n"/>
      <c r="C42" s="4" t="n"/>
      <c r="D42" s="4" t="n"/>
      <c r="E42" s="4" t="n"/>
      <c r="F42" s="4" t="n"/>
      <c r="G42" s="4" t="n">
        <v>5</v>
      </c>
      <c r="H42" s="4" t="inlineStr">
        <is>
          <t>bolsa</t>
        </is>
      </c>
      <c r="I42" s="4" t="n"/>
    </row>
    <row r="43">
      <c r="B43" s="5" t="inlineStr">
        <is>
          <t>Bultos de repollo</t>
        </is>
      </c>
      <c r="C43" t="n">
        <v>5</v>
      </c>
      <c r="D43" t="inlineStr">
        <is>
          <t>unidad</t>
        </is>
      </c>
      <c r="E43" s="6">
        <f>IFERROR(VLOOKUP(B43,'Materia Prima'!B:E,4,FALSE),0)</f>
        <v/>
      </c>
      <c r="F43" s="6">
        <f>C43*E43</f>
        <v/>
      </c>
    </row>
    <row r="44">
      <c r="B44" s="5" t="inlineStr">
        <is>
          <t>Zanahoria</t>
        </is>
      </c>
      <c r="C44" t="n">
        <v>2</v>
      </c>
      <c r="D44" t="inlineStr">
        <is>
          <t>unidad</t>
        </is>
      </c>
      <c r="E44" s="6">
        <f>IFERROR(VLOOKUP(B44,'Materia Prima'!B:E,4,FALSE),0)</f>
        <v/>
      </c>
      <c r="F44" s="6">
        <f>C44*E44</f>
        <v/>
      </c>
    </row>
    <row r="45">
      <c r="B45" s="5" t="inlineStr">
        <is>
          <t>Mostaza MC Cormick Galon Bolsa</t>
        </is>
      </c>
      <c r="C45" t="n">
        <v>30</v>
      </c>
      <c r="D45" t="inlineStr">
        <is>
          <t>ml</t>
        </is>
      </c>
      <c r="E45" s="6">
        <f>IFERROR(VLOOKUP(B45,'Materia Prima'!B:E,4,FALSE),0)</f>
        <v/>
      </c>
      <c r="F45" s="6">
        <f>C45*E45</f>
        <v/>
      </c>
    </row>
    <row r="46">
      <c r="B46" s="5" t="inlineStr">
        <is>
          <t>Vinagre en Galon</t>
        </is>
      </c>
      <c r="C46" t="n">
        <v>0.5</v>
      </c>
      <c r="D46" t="inlineStr">
        <is>
          <t>litro</t>
        </is>
      </c>
      <c r="E46" s="6">
        <f>IFERROR(VLOOKUP(B46,'Materia Prima'!B:E,4,FALSE),0)</f>
        <v/>
      </c>
      <c r="F46" s="6">
        <f>C46*E46</f>
        <v/>
      </c>
    </row>
    <row r="47">
      <c r="B47" s="5" t="inlineStr">
        <is>
          <t>535 Gran Onion</t>
        </is>
      </c>
      <c r="C47" t="n">
        <v>16</v>
      </c>
      <c r="D47" t="inlineStr">
        <is>
          <t>g</t>
        </is>
      </c>
      <c r="E47" s="6">
        <f>IFERROR(VLOOKUP(B47,'Materia Prima'!B:E,4,FALSE),0)</f>
        <v/>
      </c>
      <c r="F47" s="6">
        <f>C47*E47</f>
        <v/>
      </c>
    </row>
    <row r="48">
      <c r="B48" s="5" t="inlineStr">
        <is>
          <t>Sazonador Completo MCCormick 2kgs Bolsa</t>
        </is>
      </c>
      <c r="C48" t="n">
        <v>8</v>
      </c>
      <c r="D48" t="inlineStr">
        <is>
          <t>g</t>
        </is>
      </c>
      <c r="E48" s="6">
        <f>IFERROR(VLOOKUP(B48,'Materia Prima'!B:E,4,FALSE),0)</f>
        <v/>
      </c>
      <c r="F48" s="6">
        <f>C48*E48</f>
        <v/>
      </c>
    </row>
    <row r="49">
      <c r="A49" s="7" t="inlineStr">
        <is>
          <t>TOTAL</t>
        </is>
      </c>
      <c r="B49" s="4" t="n"/>
      <c r="C49" s="4" t="n"/>
      <c r="D49" s="4" t="n"/>
      <c r="E49" s="4" t="n"/>
      <c r="F49" s="8">
        <f>SUM(F43:F48)</f>
        <v/>
      </c>
      <c r="G49" s="4" t="n">
        <v>5</v>
      </c>
      <c r="H49" s="4" t="n"/>
      <c r="I49" s="9">
        <f>IF(G49&gt;0,F49/G49,0)</f>
        <v/>
      </c>
    </row>
    <row r="50"/>
    <row r="51">
      <c r="A51" s="3" t="inlineStr">
        <is>
          <t>Fancy</t>
        </is>
      </c>
      <c r="B51" s="4" t="n"/>
      <c r="C51" s="4" t="n"/>
      <c r="D51" s="4" t="n"/>
      <c r="E51" s="4" t="n"/>
      <c r="F51" s="4" t="n"/>
      <c r="G51" s="4" t="n">
        <v>1</v>
      </c>
      <c r="H51" s="4" t="inlineStr">
        <is>
          <t>porcion</t>
        </is>
      </c>
      <c r="I51" s="4" t="n"/>
    </row>
    <row r="52">
      <c r="B52" s="5" t="inlineStr">
        <is>
          <t>Papa Blanca 20lb</t>
        </is>
      </c>
      <c r="C52" t="n">
        <v>0.35</v>
      </c>
      <c r="D52" t="inlineStr">
        <is>
          <t>lb</t>
        </is>
      </c>
      <c r="E52" s="6">
        <f>IFERROR(VLOOKUP(B52,'Materia Prima'!B:E,4,FALSE),0)</f>
        <v/>
      </c>
      <c r="F52" s="6">
        <f>C52*E52</f>
        <v/>
      </c>
    </row>
    <row r="53">
      <c r="B53" s="5" t="inlineStr">
        <is>
          <t>Papa Sazonadas 30lb</t>
        </is>
      </c>
      <c r="C53" t="n">
        <v>0.7</v>
      </c>
      <c r="D53" t="inlineStr">
        <is>
          <t>libra</t>
        </is>
      </c>
      <c r="E53" s="6">
        <f>IFERROR(VLOOKUP(B53,'Materia Prima'!B:E,4,FALSE),0)</f>
        <v/>
      </c>
      <c r="F53" s="6">
        <f>C53*E53</f>
        <v/>
      </c>
    </row>
    <row r="54">
      <c r="B54" s="5" t="inlineStr">
        <is>
          <t>Papa Waffle 27LB</t>
        </is>
      </c>
      <c r="C54" t="n">
        <v>0.4</v>
      </c>
      <c r="D54" t="inlineStr">
        <is>
          <t>lb</t>
        </is>
      </c>
      <c r="E54" s="6">
        <f>IFERROR(VLOOKUP(B54,'Materia Prima'!B:E,4,FALSE),0)</f>
        <v/>
      </c>
      <c r="F54" s="6">
        <f>C54*E54</f>
        <v/>
      </c>
    </row>
    <row r="55">
      <c r="A55" s="7" t="inlineStr">
        <is>
          <t>TOTAL</t>
        </is>
      </c>
      <c r="B55" s="4" t="n"/>
      <c r="C55" s="4" t="n"/>
      <c r="D55" s="4" t="n"/>
      <c r="E55" s="4" t="n"/>
      <c r="F55" s="8">
        <f>SUM(F52:F54)</f>
        <v/>
      </c>
      <c r="G55" s="4" t="n">
        <v>1</v>
      </c>
      <c r="H55" s="4" t="n"/>
      <c r="I55" s="9">
        <f>IF(G55&gt;0,F55/G55,0)</f>
        <v/>
      </c>
    </row>
    <row r="56"/>
    <row r="57">
      <c r="A57" s="3" t="inlineStr">
        <is>
          <t>Freakie Dog armado</t>
        </is>
      </c>
      <c r="B57" s="4" t="n"/>
      <c r="C57" s="4" t="n"/>
      <c r="D57" s="4" t="n"/>
      <c r="E57" s="4" t="n"/>
      <c r="F57" s="4" t="n"/>
      <c r="G57" s="4" t="n">
        <v>1</v>
      </c>
      <c r="H57" s="4" t="inlineStr">
        <is>
          <t>unidad</t>
        </is>
      </c>
      <c r="I57" s="4" t="n"/>
    </row>
    <row r="58">
      <c r="B58" s="5" t="inlineStr">
        <is>
          <t>Pan Hot Dog Berna bolsa 10 unidades</t>
        </is>
      </c>
      <c r="C58" t="n">
        <v>1</v>
      </c>
      <c r="D58" t="inlineStr">
        <is>
          <t>bolsa</t>
        </is>
      </c>
      <c r="E58" s="6">
        <f>IFERROR(VLOOKUP(B58,'Materia Prima'!B:E,4,FALSE),0)</f>
        <v/>
      </c>
      <c r="F58" s="6">
        <f>C58*E58*0.1</f>
        <v/>
      </c>
    </row>
    <row r="59">
      <c r="B59" s="5" t="inlineStr">
        <is>
          <t>Salchicha Parowsi paquete 25 unidades</t>
        </is>
      </c>
      <c r="C59" t="n">
        <v>1</v>
      </c>
      <c r="D59" t="inlineStr">
        <is>
          <t>paquete</t>
        </is>
      </c>
      <c r="E59" s="6">
        <f>IFERROR(VLOOKUP(B59,'Materia Prima'!B:E,4,FALSE),0)</f>
        <v/>
      </c>
      <c r="F59" s="6">
        <f>C59*E59*0.04</f>
        <v/>
      </c>
    </row>
    <row r="60">
      <c r="B60" s="5" t="inlineStr">
        <is>
          <t>Mayonesa Hellmans Real</t>
        </is>
      </c>
      <c r="C60" t="n">
        <v>0.2</v>
      </c>
      <c r="D60" t="inlineStr">
        <is>
          <t>oz</t>
        </is>
      </c>
      <c r="E60" s="6">
        <f>IFERROR(VLOOKUP(B60,'Materia Prima'!B:E,4,FALSE),0)</f>
        <v/>
      </c>
      <c r="F60" s="6">
        <f>C60*E60</f>
        <v/>
      </c>
    </row>
    <row r="61">
      <c r="B61" s="5" t="inlineStr">
        <is>
          <t>Salsa Ketchup GL. 4X3.5 KG MC Cormick</t>
        </is>
      </c>
      <c r="C61" t="n">
        <v>0.2</v>
      </c>
      <c r="D61" t="inlineStr">
        <is>
          <t>oz</t>
        </is>
      </c>
      <c r="E61" s="6">
        <f>IFERROR(VLOOKUP(B61,'Materia Prima'!B:E,4,FALSE),0)</f>
        <v/>
      </c>
      <c r="F61" s="6">
        <f>C61*E61</f>
        <v/>
      </c>
    </row>
    <row r="62">
      <c r="B62" s="5" t="inlineStr">
        <is>
          <t>Pepinillo triturado bote</t>
        </is>
      </c>
      <c r="C62" t="n">
        <v>0.5</v>
      </c>
      <c r="D62" t="inlineStr">
        <is>
          <t>bote</t>
        </is>
      </c>
      <c r="E62" s="6">
        <f>IFERROR(VLOOKUP(B62,'Materia Prima'!B:E,4,FALSE),0)</f>
        <v/>
      </c>
      <c r="F62" s="6">
        <f>C62*E62</f>
        <v/>
      </c>
    </row>
    <row r="63">
      <c r="B63" s="5" t="inlineStr">
        <is>
          <t>↪ Cebolla Blanca</t>
        </is>
      </c>
      <c r="C63" t="n">
        <v>0.03125</v>
      </c>
      <c r="D63" t="inlineStr">
        <is>
          <t>bolsa</t>
        </is>
      </c>
      <c r="E63" t="n">
        <v>13.2134</v>
      </c>
      <c r="F63" s="6">
        <f>C63*E63</f>
        <v/>
      </c>
    </row>
    <row r="64">
      <c r="B64" s="5" t="inlineStr">
        <is>
          <t>↪ Escabeche</t>
        </is>
      </c>
      <c r="C64" t="n">
        <v>0.02083333333333333</v>
      </c>
      <c r="D64" t="inlineStr">
        <is>
          <t>bolsa</t>
        </is>
      </c>
      <c r="E64" t="n">
        <v>11.6007</v>
      </c>
      <c r="F64" s="6">
        <f>C64*E64</f>
        <v/>
      </c>
    </row>
    <row r="65">
      <c r="B65" s="5" t="inlineStr">
        <is>
          <t>↪ Salsa Chipotle</t>
        </is>
      </c>
      <c r="C65" t="n">
        <v>0.015625</v>
      </c>
      <c r="D65" t="inlineStr">
        <is>
          <t>bolsa</t>
        </is>
      </c>
      <c r="E65" t="n">
        <v>46.935</v>
      </c>
      <c r="F65" s="6">
        <f>C65*E65</f>
        <v/>
      </c>
    </row>
    <row r="66">
      <c r="B66" s="5" t="inlineStr">
        <is>
          <t>↪ Cheddar Porcionado (Bolsa 2lb)</t>
        </is>
      </c>
      <c r="C66" t="n">
        <v>0.5</v>
      </c>
      <c r="D66" t="inlineStr">
        <is>
          <t>bolsa</t>
        </is>
      </c>
      <c r="E66" t="n">
        <v>10.3451</v>
      </c>
      <c r="F66" s="6">
        <f>C66*E66*0.03125</f>
        <v/>
      </c>
    </row>
    <row r="67">
      <c r="A67" s="7" t="inlineStr">
        <is>
          <t>TOTAL</t>
        </is>
      </c>
      <c r="B67" s="4" t="n"/>
      <c r="C67" s="4" t="n"/>
      <c r="D67" s="4" t="n"/>
      <c r="E67" s="4" t="n"/>
      <c r="F67" s="8">
        <f>SUM(F58:F66)</f>
        <v/>
      </c>
      <c r="G67" s="4" t="n">
        <v>1</v>
      </c>
      <c r="H67" s="4" t="n"/>
      <c r="I67" s="9">
        <f>IF(G67&gt;0,F67/G67,0)</f>
        <v/>
      </c>
    </row>
    <row r="68"/>
    <row r="69">
      <c r="A69" s="3" t="inlineStr">
        <is>
          <t>Hamburguesa Sencilla (armada)</t>
        </is>
      </c>
      <c r="B69" s="4" t="n"/>
      <c r="C69" s="4" t="n"/>
      <c r="D69" s="4" t="n"/>
      <c r="E69" s="4" t="n"/>
      <c r="F69" s="4" t="n"/>
      <c r="G69" s="4" t="n">
        <v>1</v>
      </c>
      <c r="H69" s="4" t="inlineStr">
        <is>
          <t>unidad</t>
        </is>
      </c>
      <c r="I69" s="4" t="n"/>
    </row>
    <row r="70">
      <c r="B70" s="5" t="inlineStr">
        <is>
          <t>228941 Pepinillos</t>
        </is>
      </c>
      <c r="C70" t="n">
        <v>0.85</v>
      </c>
      <c r="D70" t="inlineStr">
        <is>
          <t>oz</t>
        </is>
      </c>
      <c r="E70" s="6">
        <f>IFERROR(VLOOKUP(B70,'Materia Prima'!B:E,4,FALSE),0)</f>
        <v/>
      </c>
      <c r="F70" s="6">
        <f>C70*E70</f>
        <v/>
      </c>
    </row>
    <row r="71">
      <c r="B71" s="5" t="inlineStr">
        <is>
          <t>95816 Mantequilla</t>
        </is>
      </c>
      <c r="C71" t="n">
        <v>0.5</v>
      </c>
      <c r="D71" t="inlineStr">
        <is>
          <t>g</t>
        </is>
      </c>
      <c r="E71" s="6">
        <f>IFERROR(VLOOKUP(B71,'Materia Prima'!B:E,4,FALSE),0)</f>
        <v/>
      </c>
      <c r="F71" s="6">
        <f>C71*E71</f>
        <v/>
      </c>
    </row>
    <row r="72">
      <c r="B72" s="5" t="inlineStr">
        <is>
          <t>↪ Mezcla de Carne Smash</t>
        </is>
      </c>
      <c r="C72" t="n">
        <v>2</v>
      </c>
      <c r="D72" t="inlineStr">
        <is>
          <t>unidad</t>
        </is>
      </c>
      <c r="E72" t="n">
        <v>507.1396</v>
      </c>
      <c r="F72" s="6">
        <f>C72*E72</f>
        <v/>
      </c>
    </row>
    <row r="73">
      <c r="B73" s="5" t="inlineStr">
        <is>
          <t>Pan de Hamburguesa Brioche bolsa 12 unidades</t>
        </is>
      </c>
      <c r="C73" t="n">
        <v>1</v>
      </c>
      <c r="D73" t="inlineStr">
        <is>
          <t>bolsa</t>
        </is>
      </c>
      <c r="E73" s="6">
        <f>IFERROR(VLOOKUP(B73,'Materia Prima'!B:E,4,FALSE),0)</f>
        <v/>
      </c>
      <c r="F73" s="6">
        <f>C73*E73*0.083333</f>
        <v/>
      </c>
    </row>
    <row r="74">
      <c r="B74" s="5" t="inlineStr">
        <is>
          <t>MQ LAC Procesado Reb AM C 1.4kg/3lb</t>
        </is>
      </c>
      <c r="C74" t="n">
        <v>0.0485</v>
      </c>
      <c r="D74" t="inlineStr">
        <is>
          <t>lb</t>
        </is>
      </c>
      <c r="E74" s="6">
        <f>IFERROR(VLOOKUP(B74,'Materia Prima'!B:E,4,FALSE),0)</f>
        <v/>
      </c>
      <c r="F74" s="6">
        <f>C74*E74</f>
        <v/>
      </c>
    </row>
    <row r="75">
      <c r="B75" s="5" t="inlineStr">
        <is>
          <t>↪ Sal de Hamburguesa</t>
        </is>
      </c>
      <c r="C75" t="n">
        <v>0.002</v>
      </c>
      <c r="D75" t="inlineStr">
        <is>
          <t>bolsa</t>
        </is>
      </c>
      <c r="E75" t="n">
        <v>6.5999</v>
      </c>
      <c r="F75" s="6">
        <f>C75*E75</f>
        <v/>
      </c>
    </row>
    <row r="76">
      <c r="B76" s="5" t="inlineStr">
        <is>
          <t>↪ Cebolla Morada</t>
        </is>
      </c>
      <c r="C76" t="n">
        <v>0.01469791666666667</v>
      </c>
      <c r="D76" t="inlineStr">
        <is>
          <t>tanda</t>
        </is>
      </c>
      <c r="E76" t="n">
        <v>89.0702</v>
      </c>
      <c r="F76" s="6">
        <f>C76*E76</f>
        <v/>
      </c>
    </row>
    <row r="77">
      <c r="B77" s="5" t="inlineStr">
        <is>
          <t>↪ Salsa Mil Islas</t>
        </is>
      </c>
      <c r="C77" t="n">
        <v>0.0625</v>
      </c>
      <c r="D77" t="inlineStr">
        <is>
          <t>bolsa</t>
        </is>
      </c>
      <c r="E77" t="n">
        <v>36.7513</v>
      </c>
      <c r="F77" s="6">
        <f>C77*E77</f>
        <v/>
      </c>
    </row>
    <row r="78">
      <c r="A78" s="7" t="inlineStr">
        <is>
          <t>TOTAL</t>
        </is>
      </c>
      <c r="B78" s="4" t="n"/>
      <c r="C78" s="4" t="n"/>
      <c r="D78" s="4" t="n"/>
      <c r="E78" s="4" t="n"/>
      <c r="F78" s="8">
        <f>SUM(F70:F77)</f>
        <v/>
      </c>
      <c r="G78" s="4" t="n">
        <v>1</v>
      </c>
      <c r="H78" s="4" t="n"/>
      <c r="I78" s="9">
        <f>IF(G78&gt;0,F78/G78,0)</f>
        <v/>
      </c>
    </row>
    <row r="79"/>
    <row r="80">
      <c r="A80" s="3" t="inlineStr">
        <is>
          <t>Mermelada de Tocino</t>
        </is>
      </c>
      <c r="B80" s="4" t="n"/>
      <c r="C80" s="4" t="n"/>
      <c r="D80" s="4" t="n"/>
      <c r="E80" s="4" t="n"/>
      <c r="F80" s="4" t="n"/>
      <c r="G80" s="4" t="n">
        <v>4</v>
      </c>
      <c r="H80" s="4" t="inlineStr">
        <is>
          <t>tanda</t>
        </is>
      </c>
      <c r="I80" s="4" t="n"/>
    </row>
    <row r="81">
      <c r="B81" s="5" t="inlineStr">
        <is>
          <t>Vinagre de Manzana 1/4 Galon</t>
        </is>
      </c>
      <c r="C81" t="n">
        <v>1.5625</v>
      </c>
      <c r="D81" t="inlineStr">
        <is>
          <t>cuarto_galón</t>
        </is>
      </c>
      <c r="E81" s="6">
        <f>IFERROR(VLOOKUP(B81,'Materia Prima'!B:E,4,FALSE),0)</f>
        <v/>
      </c>
      <c r="F81" s="6">
        <f>C81*E81</f>
        <v/>
      </c>
    </row>
    <row r="82">
      <c r="B82" s="5" t="inlineStr">
        <is>
          <t>326235 Azucar Morena</t>
        </is>
      </c>
      <c r="C82" t="n">
        <v>1430</v>
      </c>
      <c r="D82" t="inlineStr">
        <is>
          <t>g</t>
        </is>
      </c>
      <c r="E82" s="6">
        <f>IFERROR(VLOOKUP(B82,'Materia Prima'!B:E,4,FALSE),0)</f>
        <v/>
      </c>
      <c r="F82" s="6">
        <f>C82*E82</f>
        <v/>
      </c>
    </row>
    <row r="83">
      <c r="B83" s="5" t="inlineStr">
        <is>
          <t>921290 Salsa Soya</t>
        </is>
      </c>
      <c r="C83" t="n">
        <v>0.015625</v>
      </c>
      <c r="D83" t="inlineStr">
        <is>
          <t>galón</t>
        </is>
      </c>
      <c r="E83" s="6">
        <f>IFERROR(VLOOKUP(B83,'Materia Prima'!B:E,4,FALSE),0)</f>
        <v/>
      </c>
      <c r="F83" s="6">
        <f>C83*E83</f>
        <v/>
      </c>
    </row>
    <row r="84">
      <c r="B84" s="5" t="inlineStr">
        <is>
          <t>Miel de Maple</t>
        </is>
      </c>
      <c r="C84" t="n">
        <v>6.33</v>
      </c>
      <c r="D84" t="inlineStr">
        <is>
          <t>taza</t>
        </is>
      </c>
      <c r="E84" s="6">
        <f>IFERROR(VLOOKUP(B84,'Materia Prima'!B:E,4,FALSE),0)</f>
        <v/>
      </c>
      <c r="F84" s="6">
        <f>C84*E84</f>
        <v/>
      </c>
    </row>
    <row r="85">
      <c r="B85" s="5" t="inlineStr">
        <is>
          <t>95816 Mantequilla</t>
        </is>
      </c>
      <c r="C85" t="n">
        <v>0.5</v>
      </c>
      <c r="D85" t="inlineStr">
        <is>
          <t>g</t>
        </is>
      </c>
      <c r="E85" s="6">
        <f>IFERROR(VLOOKUP(B85,'Materia Prima'!B:E,4,FALSE),0)</f>
        <v/>
      </c>
      <c r="F85" s="6">
        <f>C85*E85</f>
        <v/>
      </c>
    </row>
    <row r="86">
      <c r="B86" s="5" t="inlineStr">
        <is>
          <t>Cebollas Blancas</t>
        </is>
      </c>
      <c r="C86" t="n">
        <v>25</v>
      </c>
      <c r="D86" t="inlineStr">
        <is>
          <t>unidad</t>
        </is>
      </c>
      <c r="E86" s="6">
        <f>IFERROR(VLOOKUP(B86,'Materia Prima'!B:E,4,FALSE),0)</f>
        <v/>
      </c>
      <c r="F86" s="6">
        <f>C86*E86</f>
        <v/>
      </c>
    </row>
    <row r="87">
      <c r="B87" s="5" t="inlineStr">
        <is>
          <t>Tocino Ahumado Chimex kg</t>
        </is>
      </c>
      <c r="C87" t="n">
        <v>1.5876</v>
      </c>
      <c r="D87" t="inlineStr">
        <is>
          <t>kg</t>
        </is>
      </c>
      <c r="E87" s="6">
        <f>IFERROR(VLOOKUP(B87,'Materia Prima'!B:E,4,FALSE),0)</f>
        <v/>
      </c>
      <c r="F87" s="6">
        <f>C87*E87</f>
        <v/>
      </c>
    </row>
    <row r="88">
      <c r="A88" s="7" t="inlineStr">
        <is>
          <t>TOTAL</t>
        </is>
      </c>
      <c r="B88" s="4" t="n"/>
      <c r="C88" s="4" t="n"/>
      <c r="D88" s="4" t="n"/>
      <c r="E88" s="4" t="n"/>
      <c r="F88" s="8">
        <f>SUM(F81:F87)</f>
        <v/>
      </c>
      <c r="G88" s="4" t="n">
        <v>4</v>
      </c>
      <c r="H88" s="4" t="n"/>
      <c r="I88" s="9">
        <f>IF(G88&gt;0,F88/G88,0)</f>
        <v/>
      </c>
    </row>
    <row r="89"/>
    <row r="90">
      <c r="A90" s="3" t="inlineStr">
        <is>
          <t>Mezcla de Carne Smash</t>
        </is>
      </c>
      <c r="B90" s="4" t="n"/>
      <c r="C90" s="4" t="n"/>
      <c r="D90" s="4" t="n"/>
      <c r="E90" s="4" t="n"/>
      <c r="F90" s="4" t="n"/>
      <c r="G90" s="4" t="n">
        <v>650</v>
      </c>
      <c r="H90" s="4" t="inlineStr">
        <is>
          <t>unidad</t>
        </is>
      </c>
      <c r="I90" s="4" t="n"/>
    </row>
    <row r="91">
      <c r="B91" s="5" t="inlineStr">
        <is>
          <t>55331 Pimienta Molida</t>
        </is>
      </c>
      <c r="C91" t="n">
        <v>10.5</v>
      </c>
      <c r="D91" t="inlineStr">
        <is>
          <t>g</t>
        </is>
      </c>
      <c r="E91" s="6">
        <f>IFERROR(VLOOKUP(B91,'Materia Prima'!B:E,4,FALSE),0)</f>
        <v/>
      </c>
      <c r="F91" s="6">
        <f>C91*E91</f>
        <v/>
      </c>
    </row>
    <row r="92">
      <c r="B92" s="5" t="inlineStr">
        <is>
          <t>Glutamato Monosodico</t>
        </is>
      </c>
      <c r="C92" t="n">
        <v>70</v>
      </c>
      <c r="D92" t="inlineStr">
        <is>
          <t>g</t>
        </is>
      </c>
      <c r="E92" s="6">
        <f>IFERROR(VLOOKUP(B92,'Materia Prima'!B:E,4,FALSE),0)</f>
        <v/>
      </c>
      <c r="F92" s="6">
        <f>C92*E92</f>
        <v/>
      </c>
    </row>
    <row r="93">
      <c r="B93" s="5" t="inlineStr">
        <is>
          <t>524550 Ajo Granulado</t>
        </is>
      </c>
      <c r="C93" t="n">
        <v>49</v>
      </c>
      <c r="D93" t="inlineStr">
        <is>
          <t>g</t>
        </is>
      </c>
      <c r="E93" s="6">
        <f>IFERROR(VLOOKUP(B93,'Materia Prima'!B:E,4,FALSE),0)</f>
        <v/>
      </c>
      <c r="F93" s="6">
        <f>C93*E93</f>
        <v/>
      </c>
    </row>
    <row r="94">
      <c r="B94" s="5" t="inlineStr">
        <is>
          <t>535 Gran Onion</t>
        </is>
      </c>
      <c r="C94" t="n">
        <v>56</v>
      </c>
      <c r="D94" t="inlineStr">
        <is>
          <t>g</t>
        </is>
      </c>
      <c r="E94" s="6">
        <f>IFERROR(VLOOKUP(B94,'Materia Prima'!B:E,4,FALSE),0)</f>
        <v/>
      </c>
      <c r="F94" s="6">
        <f>C94*E94</f>
        <v/>
      </c>
    </row>
    <row r="95">
      <c r="B95" s="5" t="inlineStr">
        <is>
          <t>Nuca de Cerdo</t>
        </is>
      </c>
      <c r="C95" t="n">
        <v>15</v>
      </c>
      <c r="D95" t="inlineStr">
        <is>
          <t>lb</t>
        </is>
      </c>
      <c r="E95" s="6">
        <f>IFERROR(VLOOKUP(B95,'Materia Prima'!B:E,4,FALSE),0)</f>
        <v/>
      </c>
      <c r="F95" s="6">
        <f>C95*E95</f>
        <v/>
      </c>
    </row>
    <row r="96">
      <c r="B96" s="5" t="inlineStr">
        <is>
          <t>2032 Puyazo Gold</t>
        </is>
      </c>
      <c r="C96" t="n">
        <v>15</v>
      </c>
      <c r="D96" t="inlineStr">
        <is>
          <t>lb</t>
        </is>
      </c>
      <c r="E96" s="6">
        <f>IFERROR(VLOOKUP(B96,'Materia Prima'!B:E,4,FALSE),0)</f>
        <v/>
      </c>
      <c r="F96" s="6">
        <f>C96*E96</f>
        <v/>
      </c>
    </row>
    <row r="97">
      <c r="B97" s="5" t="inlineStr">
        <is>
          <t>Molida 90/10</t>
        </is>
      </c>
      <c r="C97" t="n">
        <v>7.5</v>
      </c>
      <c r="D97" t="inlineStr">
        <is>
          <t>lb</t>
        </is>
      </c>
      <c r="E97" s="6">
        <f>IFERROR(VLOOKUP(B97,'Materia Prima'!B:E,4,FALSE),0)</f>
        <v/>
      </c>
      <c r="F97" s="6">
        <f>C97*E97</f>
        <v/>
      </c>
    </row>
    <row r="98">
      <c r="B98" s="5" t="inlineStr">
        <is>
          <t>I+G Inosinato Guanilato</t>
        </is>
      </c>
      <c r="C98" t="n">
        <v>3.5</v>
      </c>
      <c r="D98" t="inlineStr">
        <is>
          <t>g</t>
        </is>
      </c>
      <c r="E98" s="6">
        <f>IFERROR(VLOOKUP(B98,'Materia Prima'!B:E,4,FALSE),0)</f>
        <v/>
      </c>
      <c r="F98" s="6">
        <f>C98*E98</f>
        <v/>
      </c>
    </row>
    <row r="99">
      <c r="B99" s="5" t="inlineStr">
        <is>
          <t>New York Corte Argentino</t>
        </is>
      </c>
      <c r="C99" t="n">
        <v>45</v>
      </c>
      <c r="D99" t="inlineStr">
        <is>
          <t>lb</t>
        </is>
      </c>
      <c r="E99" s="6">
        <f>IFERROR(VLOOKUP(B99,'Materia Prima'!B:E,4,FALSE),0)</f>
        <v/>
      </c>
      <c r="F99" s="6">
        <f>C99*E99</f>
        <v/>
      </c>
    </row>
    <row r="100">
      <c r="B100" s="5" t="inlineStr">
        <is>
          <t>Asado de Tira Corte Argentino</t>
        </is>
      </c>
      <c r="C100" t="n">
        <v>15</v>
      </c>
      <c r="D100" t="inlineStr">
        <is>
          <t>lb</t>
        </is>
      </c>
      <c r="E100" s="6">
        <f>IFERROR(VLOOKUP(B100,'Materia Prima'!B:E,4,FALSE),0)</f>
        <v/>
      </c>
      <c r="F100" s="6">
        <f>C100*E100</f>
        <v/>
      </c>
    </row>
    <row r="101">
      <c r="A101" s="7" t="inlineStr">
        <is>
          <t>TOTAL</t>
        </is>
      </c>
      <c r="B101" s="4" t="n"/>
      <c r="C101" s="4" t="n"/>
      <c r="D101" s="4" t="n"/>
      <c r="E101" s="4" t="n"/>
      <c r="F101" s="8">
        <f>SUM(F91:F100)</f>
        <v/>
      </c>
      <c r="G101" s="4" t="n">
        <v>650</v>
      </c>
      <c r="H101" s="4" t="n"/>
      <c r="I101" s="9">
        <f>IF(G101&gt;0,F101/G101,0)</f>
        <v/>
      </c>
    </row>
    <row r="102"/>
    <row r="103">
      <c r="A103" s="3" t="inlineStr">
        <is>
          <t>Mini Fancy</t>
        </is>
      </c>
      <c r="B103" s="4" t="n"/>
      <c r="C103" s="4" t="n"/>
      <c r="D103" s="4" t="n"/>
      <c r="E103" s="4" t="n"/>
      <c r="F103" s="4" t="n"/>
      <c r="G103" s="4" t="n">
        <v>1</v>
      </c>
      <c r="H103" s="4" t="inlineStr">
        <is>
          <t>porcion</t>
        </is>
      </c>
      <c r="I103" s="4" t="n"/>
    </row>
    <row r="104">
      <c r="B104" s="5" t="inlineStr">
        <is>
          <t>Papa Blanca 20lb</t>
        </is>
      </c>
      <c r="C104" t="n">
        <v>0.35</v>
      </c>
      <c r="D104" t="inlineStr">
        <is>
          <t>lb</t>
        </is>
      </c>
      <c r="E104" s="6">
        <f>IFERROR(VLOOKUP(B104,'Materia Prima'!B:E,4,FALSE),0)</f>
        <v/>
      </c>
      <c r="F104" s="6">
        <f>C104*E104</f>
        <v/>
      </c>
    </row>
    <row r="105">
      <c r="B105" s="5" t="inlineStr">
        <is>
          <t>Papa Waffle 27LB</t>
        </is>
      </c>
      <c r="C105" t="n">
        <v>0.35</v>
      </c>
      <c r="D105" t="inlineStr">
        <is>
          <t>lb</t>
        </is>
      </c>
      <c r="E105" s="6">
        <f>IFERROR(VLOOKUP(B105,'Materia Prima'!B:E,4,FALSE),0)</f>
        <v/>
      </c>
      <c r="F105" s="6">
        <f>C105*E105</f>
        <v/>
      </c>
    </row>
    <row r="106">
      <c r="A106" s="7" t="inlineStr">
        <is>
          <t>TOTAL</t>
        </is>
      </c>
      <c r="B106" s="4" t="n"/>
      <c r="C106" s="4" t="n"/>
      <c r="D106" s="4" t="n"/>
      <c r="E106" s="4" t="n"/>
      <c r="F106" s="8">
        <f>SUM(F104:F105)</f>
        <v/>
      </c>
      <c r="G106" s="4" t="n">
        <v>1</v>
      </c>
      <c r="H106" s="4" t="n"/>
      <c r="I106" s="9">
        <f>IF(G106&gt;0,F106/G106,0)</f>
        <v/>
      </c>
    </row>
    <row r="107"/>
    <row r="108">
      <c r="A108" s="3" t="inlineStr">
        <is>
          <t>Papa Blanca</t>
        </is>
      </c>
      <c r="B108" s="4" t="n"/>
      <c r="C108" s="4" t="n"/>
      <c r="D108" s="4" t="n"/>
      <c r="E108" s="4" t="n"/>
      <c r="F108" s="4" t="n"/>
      <c r="G108" s="4" t="n">
        <v>1</v>
      </c>
      <c r="H108" s="4" t="inlineStr">
        <is>
          <t>porcion</t>
        </is>
      </c>
      <c r="I108" s="4" t="n"/>
    </row>
    <row r="109">
      <c r="B109" s="5" t="inlineStr">
        <is>
          <t>Papa Blanca 20lb</t>
        </is>
      </c>
      <c r="C109" t="n">
        <v>0.35</v>
      </c>
      <c r="D109" t="inlineStr">
        <is>
          <t>lb</t>
        </is>
      </c>
      <c r="E109" s="6">
        <f>IFERROR(VLOOKUP(B109,'Materia Prima'!B:E,4,FALSE),0)</f>
        <v/>
      </c>
      <c r="F109" s="6">
        <f>C109*E109</f>
        <v/>
      </c>
    </row>
    <row r="110">
      <c r="A110" s="7" t="inlineStr">
        <is>
          <t>TOTAL</t>
        </is>
      </c>
      <c r="B110" s="4" t="n"/>
      <c r="C110" s="4" t="n"/>
      <c r="D110" s="4" t="n"/>
      <c r="E110" s="4" t="n"/>
      <c r="F110" s="8">
        <f>SUM(F109:F109)</f>
        <v/>
      </c>
      <c r="G110" s="4" t="n">
        <v>1</v>
      </c>
      <c r="H110" s="4" t="n"/>
      <c r="I110" s="9">
        <f>IF(G110&gt;0,F110/G110,0)</f>
        <v/>
      </c>
    </row>
    <row r="111"/>
    <row r="112">
      <c r="A112" s="3" t="inlineStr">
        <is>
          <t>Papa Sazonada</t>
        </is>
      </c>
      <c r="B112" s="4" t="n"/>
      <c r="C112" s="4" t="n"/>
      <c r="D112" s="4" t="n"/>
      <c r="E112" s="4" t="n"/>
      <c r="F112" s="4" t="n"/>
      <c r="G112" s="4" t="n">
        <v>1</v>
      </c>
      <c r="H112" s="4" t="inlineStr">
        <is>
          <t>porcion</t>
        </is>
      </c>
      <c r="I112" s="4" t="n"/>
    </row>
    <row r="113">
      <c r="B113" s="5" t="inlineStr">
        <is>
          <t>Papa Sazonadas 30lb</t>
        </is>
      </c>
      <c r="C113" t="n">
        <v>0.35</v>
      </c>
      <c r="D113" t="inlineStr">
        <is>
          <t>libra</t>
        </is>
      </c>
      <c r="E113" s="6">
        <f>IFERROR(VLOOKUP(B113,'Materia Prima'!B:E,4,FALSE),0)</f>
        <v/>
      </c>
      <c r="F113" s="6">
        <f>C113*E113</f>
        <v/>
      </c>
    </row>
    <row r="114">
      <c r="A114" s="7" t="inlineStr">
        <is>
          <t>TOTAL</t>
        </is>
      </c>
      <c r="B114" s="4" t="n"/>
      <c r="C114" s="4" t="n"/>
      <c r="D114" s="4" t="n"/>
      <c r="E114" s="4" t="n"/>
      <c r="F114" s="8">
        <f>SUM(F113:F113)</f>
        <v/>
      </c>
      <c r="G114" s="4" t="n">
        <v>1</v>
      </c>
      <c r="H114" s="4" t="n"/>
      <c r="I114" s="9">
        <f>IF(G114&gt;0,F114/G114,0)</f>
        <v/>
      </c>
    </row>
    <row r="115"/>
    <row r="116">
      <c r="A116" s="3" t="inlineStr">
        <is>
          <t>Papa Waffle</t>
        </is>
      </c>
      <c r="B116" s="4" t="n"/>
      <c r="C116" s="4" t="n"/>
      <c r="D116" s="4" t="n"/>
      <c r="E116" s="4" t="n"/>
      <c r="F116" s="4" t="n"/>
      <c r="G116" s="4" t="n">
        <v>1</v>
      </c>
      <c r="H116" s="4" t="inlineStr">
        <is>
          <t>porcion</t>
        </is>
      </c>
      <c r="I116" s="4" t="n"/>
    </row>
    <row r="117">
      <c r="B117" s="5" t="inlineStr">
        <is>
          <t>Papa Waffle 27LB</t>
        </is>
      </c>
      <c r="C117" t="n">
        <v>0.35</v>
      </c>
      <c r="D117" t="inlineStr">
        <is>
          <t>lb</t>
        </is>
      </c>
      <c r="E117" s="6">
        <f>IFERROR(VLOOKUP(B117,'Materia Prima'!B:E,4,FALSE),0)</f>
        <v/>
      </c>
      <c r="F117" s="6">
        <f>C117*E117</f>
        <v/>
      </c>
    </row>
    <row r="118">
      <c r="A118" s="7" t="inlineStr">
        <is>
          <t>TOTAL</t>
        </is>
      </c>
      <c r="B118" s="4" t="n"/>
      <c r="C118" s="4" t="n"/>
      <c r="D118" s="4" t="n"/>
      <c r="E118" s="4" t="n"/>
      <c r="F118" s="8">
        <f>SUM(F117:F117)</f>
        <v/>
      </c>
      <c r="G118" s="4" t="n">
        <v>1</v>
      </c>
      <c r="H118" s="4" t="n"/>
      <c r="I118" s="9">
        <f>IF(G118&gt;0,F118/G118,0)</f>
        <v/>
      </c>
    </row>
    <row r="119"/>
    <row r="120">
      <c r="A120" s="3" t="inlineStr">
        <is>
          <t>Ranch Porcionado</t>
        </is>
      </c>
      <c r="B120" s="4" t="n"/>
      <c r="C120" s="4" t="n"/>
      <c r="D120" s="4" t="n"/>
      <c r="E120" s="4" t="n"/>
      <c r="F120" s="4" t="n"/>
      <c r="G120" s="4" t="n">
        <v>1</v>
      </c>
      <c r="H120" s="4" t="inlineStr">
        <is>
          <t>bote</t>
        </is>
      </c>
      <c r="I120" s="4" t="n"/>
    </row>
    <row r="121">
      <c r="B121" s="5" t="inlineStr">
        <is>
          <t>Ranch 1 Galon</t>
        </is>
      </c>
      <c r="C121" t="n">
        <v>1</v>
      </c>
      <c r="D121" t="inlineStr">
        <is>
          <t>oz</t>
        </is>
      </c>
      <c r="E121" s="6">
        <f>IFERROR(VLOOKUP(B121,'Materia Prima'!B:E,4,FALSE),0)</f>
        <v/>
      </c>
      <c r="F121" s="6">
        <f>C121*E121</f>
        <v/>
      </c>
    </row>
    <row r="122">
      <c r="A122" s="7" t="inlineStr">
        <is>
          <t>TOTAL</t>
        </is>
      </c>
      <c r="B122" s="4" t="n"/>
      <c r="C122" s="4" t="n"/>
      <c r="D122" s="4" t="n"/>
      <c r="E122" s="4" t="n"/>
      <c r="F122" s="8">
        <f>SUM(F121:F121)</f>
        <v/>
      </c>
      <c r="G122" s="4" t="n">
        <v>1</v>
      </c>
      <c r="H122" s="4" t="n"/>
      <c r="I122" s="9">
        <f>IF(G122&gt;0,F122/G122,0)</f>
        <v/>
      </c>
    </row>
    <row r="123"/>
    <row r="124">
      <c r="A124" s="3" t="inlineStr">
        <is>
          <t>Sal de Hamburguesa</t>
        </is>
      </c>
      <c r="B124" s="4" t="n"/>
      <c r="C124" s="4" t="n"/>
      <c r="D124" s="4" t="n"/>
      <c r="E124" s="4" t="n"/>
      <c r="F124" s="4" t="n"/>
      <c r="G124" s="4" t="n">
        <v>1</v>
      </c>
      <c r="H124" s="4" t="inlineStr">
        <is>
          <t>bolsa</t>
        </is>
      </c>
      <c r="I124" s="4" t="n"/>
    </row>
    <row r="125">
      <c r="B125" s="5" t="inlineStr">
        <is>
          <t>55331 Pimienta Molida</t>
        </is>
      </c>
      <c r="C125" t="n">
        <v>141.7475</v>
      </c>
      <c r="D125" t="inlineStr">
        <is>
          <t>g</t>
        </is>
      </c>
      <c r="E125" s="6">
        <f>IFERROR(VLOOKUP(B125,'Materia Prima'!B:E,4,FALSE),0)</f>
        <v/>
      </c>
      <c r="F125" s="6">
        <f>C125*E125</f>
        <v/>
      </c>
    </row>
    <row r="126">
      <c r="B126" s="5" t="inlineStr">
        <is>
          <t>55334 MS Paprika</t>
        </is>
      </c>
      <c r="C126" t="n">
        <v>141.7475</v>
      </c>
      <c r="D126" t="inlineStr">
        <is>
          <t>g</t>
        </is>
      </c>
      <c r="E126" s="6">
        <f>IFERROR(VLOOKUP(B126,'Materia Prima'!B:E,4,FALSE),0)</f>
        <v/>
      </c>
      <c r="F126" s="6">
        <f>C126*E126</f>
        <v/>
      </c>
    </row>
    <row r="127">
      <c r="B127" s="5" t="inlineStr">
        <is>
          <t>524550 Ajo Granulado</t>
        </is>
      </c>
      <c r="C127" t="n">
        <v>141.7475</v>
      </c>
      <c r="D127" t="inlineStr">
        <is>
          <t>g</t>
        </is>
      </c>
      <c r="E127" s="6">
        <f>IFERROR(VLOOKUP(B127,'Materia Prima'!B:E,4,FALSE),0)</f>
        <v/>
      </c>
      <c r="F127" s="6">
        <f>C127*E127</f>
        <v/>
      </c>
    </row>
    <row r="128">
      <c r="B128" s="5" t="inlineStr">
        <is>
          <t>Glutamato Monosodico</t>
        </is>
      </c>
      <c r="C128" t="n">
        <v>45.4</v>
      </c>
      <c r="D128" t="inlineStr">
        <is>
          <t>g</t>
        </is>
      </c>
      <c r="E128" s="6">
        <f>IFERROR(VLOOKUP(B128,'Materia Prima'!B:E,4,FALSE),0)</f>
        <v/>
      </c>
      <c r="F128" s="6">
        <f>C128*E128</f>
        <v/>
      </c>
    </row>
    <row r="129">
      <c r="A129" s="7" t="inlineStr">
        <is>
          <t>TOTAL</t>
        </is>
      </c>
      <c r="B129" s="4" t="n"/>
      <c r="C129" s="4" t="n"/>
      <c r="D129" s="4" t="n"/>
      <c r="E129" s="4" t="n"/>
      <c r="F129" s="8">
        <f>SUM(F125:F128)</f>
        <v/>
      </c>
      <c r="G129" s="4" t="n">
        <v>1</v>
      </c>
      <c r="H129" s="4" t="n"/>
      <c r="I129" s="9">
        <f>IF(G129&gt;0,F129/G129,0)</f>
        <v/>
      </c>
    </row>
    <row r="130"/>
    <row r="131">
      <c r="A131" s="3" t="inlineStr">
        <is>
          <t>Salsa Chipotle</t>
        </is>
      </c>
      <c r="B131" s="4" t="n"/>
      <c r="C131" s="4" t="n"/>
      <c r="D131" s="4" t="n"/>
      <c r="E131" s="4" t="n"/>
      <c r="F131" s="4" t="n"/>
      <c r="G131" s="4" t="n">
        <v>14</v>
      </c>
      <c r="H131" s="4" t="inlineStr">
        <is>
          <t>bolsa</t>
        </is>
      </c>
      <c r="I131" s="4" t="n"/>
    </row>
    <row r="132">
      <c r="B132" s="5" t="inlineStr">
        <is>
          <t>Aderezo Mayo Redu. Lipidos MC 4*3KG</t>
        </is>
      </c>
      <c r="C132" t="n">
        <v>4</v>
      </c>
      <c r="D132" t="inlineStr">
        <is>
          <t>bolsa</t>
        </is>
      </c>
      <c r="E132" s="6">
        <f>IFERROR(VLOOKUP(B132,'Materia Prima'!B:E,4,FALSE),0)</f>
        <v/>
      </c>
      <c r="F132" s="6">
        <f>C132*E132</f>
        <v/>
      </c>
    </row>
    <row r="133">
      <c r="B133" s="5" t="inlineStr">
        <is>
          <t>Chile Chipotle Adobado 24/380 GR</t>
        </is>
      </c>
      <c r="C133" t="n">
        <v>4</v>
      </c>
      <c r="D133" t="inlineStr">
        <is>
          <t>lata</t>
        </is>
      </c>
      <c r="E133" s="6">
        <f>IFERROR(VLOOKUP(B133,'Materia Prima'!B:E,4,FALSE),0)</f>
        <v/>
      </c>
      <c r="F133" s="6">
        <f>C133*E133</f>
        <v/>
      </c>
    </row>
    <row r="134">
      <c r="A134" s="7" t="inlineStr">
        <is>
          <t>TOTAL</t>
        </is>
      </c>
      <c r="B134" s="4" t="n"/>
      <c r="C134" s="4" t="n"/>
      <c r="D134" s="4" t="n"/>
      <c r="E134" s="4" t="n"/>
      <c r="F134" s="8">
        <f>SUM(F132:F133)</f>
        <v/>
      </c>
      <c r="G134" s="4" t="n">
        <v>14</v>
      </c>
      <c r="H134" s="4" t="n"/>
      <c r="I134" s="9">
        <f>IF(G134&gt;0,F134/G134,0)</f>
        <v/>
      </c>
    </row>
    <row r="135"/>
    <row r="136">
      <c r="A136" s="3" t="inlineStr">
        <is>
          <t>Salsa Mil Islas</t>
        </is>
      </c>
      <c r="B136" s="4" t="n"/>
      <c r="C136" s="4" t="n"/>
      <c r="D136" s="4" t="n"/>
      <c r="E136" s="4" t="n"/>
      <c r="F136" s="4" t="n"/>
      <c r="G136" s="4" t="n">
        <v>16</v>
      </c>
      <c r="H136" s="4" t="inlineStr">
        <is>
          <t>bolsa</t>
        </is>
      </c>
      <c r="I136" s="4" t="n"/>
    </row>
    <row r="137">
      <c r="B137" s="5" t="inlineStr">
        <is>
          <t>Mostaza MC Cormick Galon Bolsa</t>
        </is>
      </c>
      <c r="C137" t="n">
        <v>4</v>
      </c>
      <c r="D137" t="inlineStr">
        <is>
          <t>ml</t>
        </is>
      </c>
      <c r="E137" s="6">
        <f>IFERROR(VLOOKUP(B137,'Materia Prima'!B:E,4,FALSE),0)</f>
        <v/>
      </c>
      <c r="F137" s="6">
        <f>C137*E137</f>
        <v/>
      </c>
    </row>
    <row r="138">
      <c r="B138" s="5" t="inlineStr">
        <is>
          <t>781060 MS Mayo</t>
        </is>
      </c>
      <c r="C138" t="n">
        <v>4</v>
      </c>
      <c r="D138" t="inlineStr">
        <is>
          <t>oz</t>
        </is>
      </c>
      <c r="E138" s="6">
        <f>IFERROR(VLOOKUP(B138,'Materia Prima'!B:E,4,FALSE),0)</f>
        <v/>
      </c>
      <c r="F138" s="6">
        <f>C138*E138</f>
        <v/>
      </c>
    </row>
    <row r="139">
      <c r="B139" s="5" t="inlineStr">
        <is>
          <t>278946 Salsa Inglesa</t>
        </is>
      </c>
      <c r="C139" t="n">
        <v>5</v>
      </c>
      <c r="D139" t="inlineStr">
        <is>
          <t>botella</t>
        </is>
      </c>
      <c r="E139" s="6">
        <f>IFERROR(VLOOKUP(B139,'Materia Prima'!B:E,4,FALSE),0)</f>
        <v/>
      </c>
      <c r="F139" s="6">
        <f>C139*E139</f>
        <v/>
      </c>
    </row>
    <row r="140">
      <c r="B140" s="5" t="inlineStr">
        <is>
          <t>Salsa Ketchup GL. 4X3.5 KG MC Cormick</t>
        </is>
      </c>
      <c r="C140" t="n">
        <v>2</v>
      </c>
      <c r="D140" t="inlineStr">
        <is>
          <t>oz</t>
        </is>
      </c>
      <c r="E140" s="6">
        <f>IFERROR(VLOOKUP(B140,'Materia Prima'!B:E,4,FALSE),0)</f>
        <v/>
      </c>
      <c r="F140" s="6">
        <f>C140*E140</f>
        <v/>
      </c>
    </row>
    <row r="141">
      <c r="B141" s="5" t="inlineStr">
        <is>
          <t>55331 Pimienta Molida</t>
        </is>
      </c>
      <c r="C141" t="n">
        <v>16</v>
      </c>
      <c r="D141" t="inlineStr">
        <is>
          <t>g</t>
        </is>
      </c>
      <c r="E141" s="6">
        <f>IFERROR(VLOOKUP(B141,'Materia Prima'!B:E,4,FALSE),0)</f>
        <v/>
      </c>
      <c r="F141" s="6">
        <f>C141*E141</f>
        <v/>
      </c>
    </row>
    <row r="142">
      <c r="B142" s="5" t="inlineStr">
        <is>
          <t>524550 Ajo Granulado</t>
        </is>
      </c>
      <c r="C142" t="n">
        <v>16</v>
      </c>
      <c r="D142" t="inlineStr">
        <is>
          <t>g</t>
        </is>
      </c>
      <c r="E142" s="6">
        <f>IFERROR(VLOOKUP(B142,'Materia Prima'!B:E,4,FALSE),0)</f>
        <v/>
      </c>
      <c r="F142" s="6">
        <f>C142*E142</f>
        <v/>
      </c>
    </row>
    <row r="143">
      <c r="B143" s="5" t="inlineStr">
        <is>
          <t>535 Gran Onion</t>
        </is>
      </c>
      <c r="C143" t="n">
        <v>40</v>
      </c>
      <c r="D143" t="inlineStr">
        <is>
          <t>g</t>
        </is>
      </c>
      <c r="E143" s="6">
        <f>IFERROR(VLOOKUP(B143,'Materia Prima'!B:E,4,FALSE),0)</f>
        <v/>
      </c>
      <c r="F143" s="6">
        <f>C143*E143</f>
        <v/>
      </c>
    </row>
    <row r="144">
      <c r="B144" s="5" t="inlineStr">
        <is>
          <t>Pepinillo triturado bote</t>
        </is>
      </c>
      <c r="C144" t="n">
        <v>1</v>
      </c>
      <c r="D144" t="inlineStr">
        <is>
          <t>bote</t>
        </is>
      </c>
      <c r="E144" s="6">
        <f>IFERROR(VLOOKUP(B144,'Materia Prima'!B:E,4,FALSE),0)</f>
        <v/>
      </c>
      <c r="F144" s="6">
        <f>C144*E144</f>
        <v/>
      </c>
    </row>
    <row r="145">
      <c r="B145" s="5" t="inlineStr">
        <is>
          <t>Salsa Siracha</t>
        </is>
      </c>
      <c r="C145" t="n">
        <v>4</v>
      </c>
      <c r="D145" t="inlineStr">
        <is>
          <t>cucharada</t>
        </is>
      </c>
      <c r="E145" s="6">
        <f>IFERROR(VLOOKUP(B145,'Materia Prima'!B:E,4,FALSE),0)</f>
        <v/>
      </c>
      <c r="F145" s="6">
        <f>C145*E145</f>
        <v/>
      </c>
    </row>
    <row r="146">
      <c r="A146" s="7" t="inlineStr">
        <is>
          <t>TOTAL</t>
        </is>
      </c>
      <c r="B146" s="4" t="n"/>
      <c r="C146" s="4" t="n"/>
      <c r="D146" s="4" t="n"/>
      <c r="E146" s="4" t="n"/>
      <c r="F146" s="8">
        <f>SUM(F137:F145)</f>
        <v/>
      </c>
      <c r="G146" s="4" t="n">
        <v>16</v>
      </c>
      <c r="H146" s="4" t="n"/>
      <c r="I146" s="9">
        <f>IF(G146&gt;0,F146/G146,0)</f>
        <v/>
      </c>
    </row>
    <row r="147"/>
    <row r="148">
      <c r="A148" s="3" t="inlineStr">
        <is>
          <t>Salsa Truffa</t>
        </is>
      </c>
      <c r="B148" s="4" t="n"/>
      <c r="C148" s="4" t="n"/>
      <c r="D148" s="4" t="n"/>
      <c r="E148" s="4" t="n"/>
      <c r="F148" s="4" t="n"/>
      <c r="G148" s="4" t="n">
        <v>4</v>
      </c>
      <c r="H148" s="4" t="inlineStr">
        <is>
          <t>bolsa</t>
        </is>
      </c>
      <c r="I148" s="4" t="n"/>
    </row>
    <row r="149">
      <c r="B149" s="5" t="inlineStr">
        <is>
          <t>Mostaza Dijon Chardonay GL 2X105OZ</t>
        </is>
      </c>
      <c r="C149" t="n">
        <v>3</v>
      </c>
      <c r="D149" t="inlineStr">
        <is>
          <t>oz</t>
        </is>
      </c>
      <c r="E149" s="6">
        <f>IFERROR(VLOOKUP(B149,'Materia Prima'!B:E,4,FALSE),0)</f>
        <v/>
      </c>
      <c r="F149" s="6">
        <f>C149*E149</f>
        <v/>
      </c>
    </row>
    <row r="150">
      <c r="B150" s="5" t="inlineStr">
        <is>
          <t>781060 MS Mayo</t>
        </is>
      </c>
      <c r="C150" t="n">
        <v>1</v>
      </c>
      <c r="D150" t="inlineStr">
        <is>
          <t>oz</t>
        </is>
      </c>
      <c r="E150" s="6">
        <f>IFERROR(VLOOKUP(B150,'Materia Prima'!B:E,4,FALSE),0)</f>
        <v/>
      </c>
      <c r="F150" s="6">
        <f>C150*E150</f>
        <v/>
      </c>
    </row>
    <row r="151">
      <c r="B151" s="5" t="inlineStr">
        <is>
          <t>Aceite Extra Oliva de Trufa BO</t>
        </is>
      </c>
      <c r="C151" t="n">
        <v>62.5</v>
      </c>
      <c r="D151" t="inlineStr">
        <is>
          <t>ml</t>
        </is>
      </c>
      <c r="E151" s="6">
        <f>IFERROR(VLOOKUP(B151,'Materia Prima'!B:E,4,FALSE),0)</f>
        <v/>
      </c>
      <c r="F151" s="6">
        <f>C151*E151</f>
        <v/>
      </c>
    </row>
    <row r="152">
      <c r="B152" s="5" t="inlineStr">
        <is>
          <t>Ralladura de Limon</t>
        </is>
      </c>
      <c r="C152" t="n">
        <v>1</v>
      </c>
      <c r="D152" t="inlineStr">
        <is>
          <t>unidad</t>
        </is>
      </c>
      <c r="E152" s="6">
        <f>IFERROR(VLOOKUP(B152,'Materia Prima'!B:E,4,FALSE),0)</f>
        <v/>
      </c>
      <c r="F152" s="6">
        <f>C152*E152</f>
        <v/>
      </c>
    </row>
    <row r="153">
      <c r="B153" s="5" t="inlineStr">
        <is>
          <t>Jugo de Limon</t>
        </is>
      </c>
      <c r="C153" t="n">
        <v>0.5</v>
      </c>
      <c r="D153" t="inlineStr">
        <is>
          <t>unidad</t>
        </is>
      </c>
      <c r="E153" s="6">
        <f>IFERROR(VLOOKUP(B153,'Materia Prima'!B:E,4,FALSE),0)</f>
        <v/>
      </c>
      <c r="F153" s="6">
        <f>C153*E153</f>
        <v/>
      </c>
    </row>
    <row r="154">
      <c r="A154" s="7" t="inlineStr">
        <is>
          <t>TOTAL</t>
        </is>
      </c>
      <c r="B154" s="4" t="n"/>
      <c r="C154" s="4" t="n"/>
      <c r="D154" s="4" t="n"/>
      <c r="E154" s="4" t="n"/>
      <c r="F154" s="8">
        <f>SUM(F149:F153)</f>
        <v/>
      </c>
      <c r="G154" s="4" t="n">
        <v>4</v>
      </c>
      <c r="H154" s="4" t="n"/>
      <c r="I154" s="9">
        <f>IF(G154&gt;0,F154/G154,0)</f>
        <v/>
      </c>
    </row>
    <row r="155"/>
    <row r="156">
      <c r="A156" s="3" t="inlineStr">
        <is>
          <t>Super Freak armado</t>
        </is>
      </c>
      <c r="B156" s="4" t="n"/>
      <c r="C156" s="4" t="n"/>
      <c r="D156" s="4" t="n"/>
      <c r="E156" s="4" t="n"/>
      <c r="F156" s="4" t="n"/>
      <c r="G156" s="4" t="n">
        <v>1</v>
      </c>
      <c r="H156" s="4" t="inlineStr">
        <is>
          <t>unidad</t>
        </is>
      </c>
      <c r="I156" s="4" t="n"/>
    </row>
    <row r="157">
      <c r="B157" s="5" t="inlineStr">
        <is>
          <t>Salchicha Parowsi paquete 25 unidades</t>
        </is>
      </c>
      <c r="C157" t="n">
        <v>1</v>
      </c>
      <c r="D157" t="inlineStr">
        <is>
          <t>paquete</t>
        </is>
      </c>
      <c r="E157" s="6">
        <f>IFERROR(VLOOKUP(B157,'Materia Prima'!B:E,4,FALSE),0)</f>
        <v/>
      </c>
      <c r="F157" s="6">
        <f>C157*E157*0.04</f>
        <v/>
      </c>
    </row>
    <row r="158">
      <c r="B158" s="5" t="inlineStr">
        <is>
          <t>Pan de Hot Dog Brioche bolsa 12 unidades</t>
        </is>
      </c>
      <c r="C158" t="n">
        <v>1</v>
      </c>
      <c r="D158" t="inlineStr">
        <is>
          <t>bolsa</t>
        </is>
      </c>
      <c r="E158" s="6">
        <f>IFERROR(VLOOKUP(B158,'Materia Prima'!B:E,4,FALSE),0)</f>
        <v/>
      </c>
      <c r="F158" s="6">
        <f>C158*E158*0.083333</f>
        <v/>
      </c>
    </row>
    <row r="159">
      <c r="B159" s="5" t="inlineStr">
        <is>
          <t>Papa Blanca 20lb</t>
        </is>
      </c>
      <c r="C159" t="n">
        <v>0.1</v>
      </c>
      <c r="D159" t="inlineStr">
        <is>
          <t>lb</t>
        </is>
      </c>
      <c r="E159" s="6">
        <f>IFERROR(VLOOKUP(B159,'Materia Prima'!B:E,4,FALSE),0)</f>
        <v/>
      </c>
      <c r="F159" s="6">
        <f>C159*E159</f>
        <v/>
      </c>
    </row>
    <row r="160">
      <c r="B160" s="5" t="inlineStr">
        <is>
          <t>↪ Salsa Mil Islas</t>
        </is>
      </c>
      <c r="C160" t="n">
        <v>0.015625</v>
      </c>
      <c r="D160" t="inlineStr">
        <is>
          <t>bolsa</t>
        </is>
      </c>
      <c r="E160" t="n">
        <v>36.7513</v>
      </c>
      <c r="F160" s="6">
        <f>C160*E160</f>
        <v/>
      </c>
    </row>
    <row r="161">
      <c r="B161" s="5" t="inlineStr">
        <is>
          <t>Tocino Ahumado Chimex kg</t>
        </is>
      </c>
      <c r="C161" t="n">
        <v>0.0227</v>
      </c>
      <c r="D161" t="inlineStr">
        <is>
          <t>kg</t>
        </is>
      </c>
      <c r="E161" s="6">
        <f>IFERROR(VLOOKUP(B161,'Materia Prima'!B:E,4,FALSE),0)</f>
        <v/>
      </c>
      <c r="F161" s="6">
        <f>C161*E161</f>
        <v/>
      </c>
    </row>
    <row r="162">
      <c r="B162" s="5" t="inlineStr">
        <is>
          <t>↪ Cheddar Porcionado (Bolsa 2lb)</t>
        </is>
      </c>
      <c r="C162" t="n">
        <v>0.5</v>
      </c>
      <c r="D162" t="inlineStr">
        <is>
          <t>bolsa</t>
        </is>
      </c>
      <c r="E162" t="n">
        <v>10.3451</v>
      </c>
      <c r="F162" s="6">
        <f>C162*E162*0.03125</f>
        <v/>
      </c>
    </row>
    <row r="163">
      <c r="A163" s="7" t="inlineStr">
        <is>
          <t>TOTAL</t>
        </is>
      </c>
      <c r="B163" s="4" t="n"/>
      <c r="C163" s="4" t="n"/>
      <c r="D163" s="4" t="n"/>
      <c r="E163" s="4" t="n"/>
      <c r="F163" s="8">
        <f>SUM(F157:F162)</f>
        <v/>
      </c>
      <c r="G163" s="4" t="n">
        <v>1</v>
      </c>
      <c r="H163" s="4" t="n"/>
      <c r="I163" s="9">
        <f>IF(G163&gt;0,F163/G163,0)</f>
        <v/>
      </c>
    </row>
  </sheetData>
  <dataValidations count="1">
    <dataValidation sqref="B4 B8 B9 B10 B14 B18 B19 B20 B21 B22 B23 B24 B25 B26 B27 B28 B29 B30 B31 B32 B33 B34 B35 B36 B37 B38 B39 B43 B44 B45 B46 B47 B48 B52 B53 B54 B58 B59 B60 B61 B62 B70 B71 B73 B74 B81 B82 B83 B84 B85 B86 B87 B91 B92 B93 B94 B95 B96 B97 B98 B99 B100 B104 B105 B109 B113 B117 B121 B125 B126 B127 B128 B132 B133 B137 B138 B139 B140 B141 B142 B143 B144 B145 B149 B150 B151 B152 B153 B157 B158 B159 B161" showDropDown="0" showInputMessage="0" showErrorMessage="0" allowBlank="1" errorTitle="Ingrediente no válido" error="Seleccioná un ingrediente de la lista de Materia Prima" type="list">
      <formula1>ListaIngredientes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1"/>
  <sheetViews>
    <sheetView workbookViewId="0">
      <pane ySplit="2" topLeftCell="A3" activePane="bottomLeft" state="frozen"/>
      <selection pane="bottomLeft" activeCell="A1" sqref="A1"/>
    </sheetView>
  </sheetViews>
  <sheetFormatPr baseColWidth="8" defaultRowHeight="15"/>
  <cols>
    <col width="44" customWidth="1" min="1" max="1"/>
    <col width="50" customWidth="1" min="2" max="2"/>
    <col width="50" customWidth="1" min="3" max="3"/>
    <col width="30" customWidth="1" min="4" max="4"/>
    <col width="9" customWidth="1" min="5" max="5"/>
    <col width="42" customWidth="1" min="6" max="6"/>
    <col width="50" customWidth="1" min="7" max="7"/>
    <col width="34" customWidth="1" min="8" max="8"/>
    <col width="28" customWidth="1" min="9" max="9"/>
    <col width="31" customWidth="1" min="10" max="10"/>
    <col width="36" customWidth="1" min="11" max="11"/>
  </cols>
  <sheetData>
    <row r="1" ht="40" customHeight="1">
      <c r="A1" s="1" t="inlineStr">
        <is>
          <t>Nombre del ítem de menú</t>
        </is>
      </c>
      <c r="B1" s="1" t="inlineStr">
        <is>
          <t>Componente (ingrediente o sub-receta)</t>
        </is>
      </c>
      <c r="C1" s="1" t="inlineStr">
        <is>
          <t>Tipo: ingrediente (de MP) o sub_receta (de Sub-Productos)</t>
        </is>
      </c>
      <c r="D1" s="1" t="inlineStr">
        <is>
          <t>Cantidad por porción vendida</t>
        </is>
      </c>
      <c r="E1" s="1" t="inlineStr">
        <is>
          <t>Unidad</t>
        </is>
      </c>
      <c r="F1" s="1" t="inlineStr">
        <is>
          <t>Factor de conversión a stock (si aplica)</t>
        </is>
      </c>
      <c r="G1" s="1">
        <f> precio del ingrediente o costo/porción de sub-receta</f>
        <v/>
      </c>
      <c r="H1" s="1">
        <f> cantidad × costo_unit × factor</f>
        <v/>
      </c>
      <c r="I1" s="1" t="inlineStr">
        <is>
          <t>Precio de venta al público</t>
        </is>
      </c>
      <c r="J1" s="1">
        <f> SUM de costo_linea por ítem</f>
        <v/>
      </c>
      <c r="K1" s="1">
        <f> (precio - costo) / precio × 100</f>
        <v/>
      </c>
    </row>
    <row r="2">
      <c r="A2" s="2" t="inlineStr">
        <is>
          <t>menu_item</t>
        </is>
      </c>
      <c r="B2" s="2" t="inlineStr">
        <is>
          <t>componente</t>
        </is>
      </c>
      <c r="C2" s="2" t="inlineStr">
        <is>
          <t>tipo</t>
        </is>
      </c>
      <c r="D2" s="2" t="inlineStr">
        <is>
          <t>cantidad</t>
        </is>
      </c>
      <c r="E2" s="2" t="inlineStr">
        <is>
          <t>unidad</t>
        </is>
      </c>
      <c r="F2" s="2" t="inlineStr">
        <is>
          <t>factor</t>
        </is>
      </c>
      <c r="G2" s="2" t="inlineStr">
        <is>
          <t>costo_unit</t>
        </is>
      </c>
      <c r="H2" s="2" t="inlineStr">
        <is>
          <t>costo_linea</t>
        </is>
      </c>
      <c r="I2" s="2" t="inlineStr">
        <is>
          <t>precio_venta</t>
        </is>
      </c>
      <c r="J2" s="2" t="inlineStr">
        <is>
          <t>costo_total</t>
        </is>
      </c>
      <c r="K2" s="2" t="inlineStr">
        <is>
          <t>margen_%</t>
        </is>
      </c>
    </row>
    <row r="3">
      <c r="A3" s="3" t="inlineStr">
        <is>
          <t>Adivina la Marca</t>
        </is>
      </c>
      <c r="B3" s="4" t="n"/>
      <c r="C3" s="4" t="n"/>
      <c r="D3" s="4" t="n"/>
      <c r="E3" s="4" t="n"/>
      <c r="F3" s="4" t="n"/>
      <c r="G3" s="4" t="n"/>
      <c r="H3" s="4" t="n"/>
      <c r="I3" s="4" t="n">
        <v>0</v>
      </c>
      <c r="J3" s="8">
        <f>SUM(H4:H5)</f>
        <v/>
      </c>
      <c r="K3" s="9">
        <f>IF(I3&gt;0,(I3-J3)/I3*100,0)</f>
        <v/>
      </c>
    </row>
    <row r="4">
      <c r="B4" s="5" t="inlineStr">
        <is>
          <t>Adivina la Maraca paquete 20 Unidades</t>
        </is>
      </c>
      <c r="C4" t="inlineStr">
        <is>
          <t>ingrediente</t>
        </is>
      </c>
      <c r="D4" t="n">
        <v>20</v>
      </c>
      <c r="E4" t="inlineStr">
        <is>
          <t>bolsa</t>
        </is>
      </c>
      <c r="G4" s="6">
        <f>IFERROR(VLOOKUP(B4,'Materia Prima'!B:E,4,FALSE),0)</f>
        <v/>
      </c>
      <c r="H4" s="6">
        <f>D4*G4</f>
        <v/>
      </c>
    </row>
    <row r="5">
      <c r="B5" s="5" t="inlineStr">
        <is>
          <t>Mano de obra armado Adivina la Marca</t>
        </is>
      </c>
      <c r="C5" t="inlineStr">
        <is>
          <t>ingrediente</t>
        </is>
      </c>
      <c r="D5" t="n">
        <v>1</v>
      </c>
      <c r="E5" t="inlineStr">
        <is>
          <t>unidad</t>
        </is>
      </c>
      <c r="G5" s="6">
        <f>IFERROR(VLOOKUP(B5,'Materia Prima'!B:E,4,FALSE),0)</f>
        <v/>
      </c>
      <c r="H5" s="6">
        <f>D5*G5</f>
        <v/>
      </c>
    </row>
    <row r="6"/>
    <row r="7">
      <c r="A7" s="3" t="inlineStr">
        <is>
          <t>Agrandado Soda y Papa</t>
        </is>
      </c>
      <c r="B7" s="4" t="n"/>
      <c r="C7" s="4" t="n"/>
      <c r="D7" s="4" t="n"/>
      <c r="E7" s="4" t="n"/>
      <c r="F7" s="4" t="n"/>
      <c r="G7" s="4" t="n"/>
      <c r="H7" s="4" t="n"/>
      <c r="I7" s="4" t="n">
        <v>0</v>
      </c>
      <c r="J7" s="8">
        <f>SUM(H8:H8)</f>
        <v/>
      </c>
      <c r="K7" s="9">
        <f>IF(I7&gt;0,(I7-J7)/I7*100,0)</f>
        <v/>
      </c>
    </row>
    <row r="8">
      <c r="B8" s="5" t="inlineStr">
        <is>
          <t>Papa Sazonada</t>
        </is>
      </c>
      <c r="C8" t="inlineStr">
        <is>
          <t>sub_receta</t>
        </is>
      </c>
      <c r="D8" t="n">
        <v>1</v>
      </c>
      <c r="E8" t="inlineStr">
        <is>
          <t>porcion</t>
        </is>
      </c>
      <c r="G8" s="6">
        <f>'Sub-Productos'!I114</f>
        <v/>
      </c>
      <c r="H8" s="6">
        <f>D8*G8</f>
        <v/>
      </c>
    </row>
    <row r="9"/>
    <row r="10">
      <c r="A10" s="3" t="inlineStr">
        <is>
          <t>Aros de Cebolla</t>
        </is>
      </c>
      <c r="B10" s="4" t="n"/>
      <c r="C10" s="4" t="n"/>
      <c r="D10" s="4" t="n"/>
      <c r="E10" s="4" t="n"/>
      <c r="F10" s="4" t="n"/>
      <c r="G10" s="4" t="n"/>
      <c r="H10" s="4" t="n"/>
      <c r="I10" s="4" t="n">
        <v>4.18</v>
      </c>
      <c r="J10" s="8">
        <f>SUM(H11:H12)</f>
        <v/>
      </c>
      <c r="K10" s="9">
        <f>IF(I10&gt;0,(I10-J10)/I10*100,0)</f>
        <v/>
      </c>
    </row>
    <row r="11">
      <c r="B11" s="5" t="inlineStr">
        <is>
          <t>Aros de cebolla unidad</t>
        </is>
      </c>
      <c r="C11" t="inlineStr">
        <is>
          <t>ingrediente</t>
        </is>
      </c>
      <c r="D11" t="n">
        <v>1</v>
      </c>
      <c r="E11" t="inlineStr">
        <is>
          <t>porcion</t>
        </is>
      </c>
      <c r="G11" s="6">
        <f>IFERROR(VLOOKUP(B11,'Materia Prima'!B:E,4,FALSE),0)</f>
        <v/>
      </c>
      <c r="H11" s="6">
        <f>D11*G11</f>
        <v/>
      </c>
    </row>
    <row r="12">
      <c r="B12" s="5" t="inlineStr">
        <is>
          <t>Ranch 1 Galon</t>
        </is>
      </c>
      <c r="C12" t="inlineStr">
        <is>
          <t>ingrediente</t>
        </is>
      </c>
      <c r="D12" t="n">
        <v>0.015625</v>
      </c>
      <c r="E12" t="inlineStr">
        <is>
          <t>oz</t>
        </is>
      </c>
      <c r="G12" s="6">
        <f>IFERROR(VLOOKUP(B12,'Materia Prima'!B:E,4,FALSE),0)</f>
        <v/>
      </c>
      <c r="H12" s="6">
        <f>D12*G12</f>
        <v/>
      </c>
    </row>
    <row r="13"/>
    <row r="14">
      <c r="A14" s="3" t="inlineStr">
        <is>
          <t>Burger Box</t>
        </is>
      </c>
      <c r="B14" s="4" t="n"/>
      <c r="C14" s="4" t="n"/>
      <c r="D14" s="4" t="n"/>
      <c r="E14" s="4" t="n"/>
      <c r="F14" s="4" t="n"/>
      <c r="G14" s="4" t="n"/>
      <c r="H14" s="4" t="n"/>
      <c r="I14" s="4" t="n">
        <v>0</v>
      </c>
      <c r="J14" s="8">
        <f>SUM(H15:H18)</f>
        <v/>
      </c>
      <c r="K14" s="9">
        <f>IF(I14&gt;0,(I14-J14)/I14*100,0)</f>
        <v/>
      </c>
    </row>
    <row r="15">
      <c r="B15" s="5" t="inlineStr">
        <is>
          <t>Hamburguesa Sencilla (armada)</t>
        </is>
      </c>
      <c r="C15" t="inlineStr">
        <is>
          <t>sub_receta</t>
        </is>
      </c>
      <c r="D15" t="n">
        <v>2</v>
      </c>
      <c r="E15" t="inlineStr">
        <is>
          <t>unidad</t>
        </is>
      </c>
      <c r="G15" s="6">
        <f>'Sub-Productos'!I78</f>
        <v/>
      </c>
      <c r="H15" s="6">
        <f>D15*G15</f>
        <v/>
      </c>
    </row>
    <row r="16">
      <c r="B16" s="5" t="inlineStr">
        <is>
          <t>Freakie Dog armado</t>
        </is>
      </c>
      <c r="C16" t="inlineStr">
        <is>
          <t>sub_receta</t>
        </is>
      </c>
      <c r="D16" t="n">
        <v>2</v>
      </c>
      <c r="E16" t="inlineStr">
        <is>
          <t>unidad</t>
        </is>
      </c>
      <c r="G16" s="6">
        <f>'Sub-Productos'!I67</f>
        <v/>
      </c>
      <c r="H16" s="6">
        <f>D16*G16</f>
        <v/>
      </c>
    </row>
    <row r="17">
      <c r="B17" s="5" t="inlineStr">
        <is>
          <t>Papa Sazonada</t>
        </is>
      </c>
      <c r="C17" t="inlineStr">
        <is>
          <t>sub_receta</t>
        </is>
      </c>
      <c r="D17" t="n">
        <v>2</v>
      </c>
      <c r="E17" t="inlineStr">
        <is>
          <t>porcion</t>
        </is>
      </c>
      <c r="G17" s="6">
        <f>'Sub-Productos'!I114</f>
        <v/>
      </c>
      <c r="H17" s="6">
        <f>D17*G17</f>
        <v/>
      </c>
    </row>
    <row r="18">
      <c r="B18" s="5" t="inlineStr">
        <is>
          <t>Pepperonchini En Vinagre Monteverde BI. PI. H2.2KG</t>
        </is>
      </c>
      <c r="C18" t="inlineStr">
        <is>
          <t>ingrediente</t>
        </is>
      </c>
      <c r="D18" t="n">
        <v>2</v>
      </c>
      <c r="E18" t="inlineStr">
        <is>
          <t>unidad</t>
        </is>
      </c>
      <c r="G18" s="6">
        <f>IFERROR(VLOOKUP(B18,'Materia Prima'!B:E,4,FALSE),0)</f>
        <v/>
      </c>
      <c r="H18" s="6">
        <f>D18*G18</f>
        <v/>
      </c>
    </row>
    <row r="19"/>
    <row r="20">
      <c r="A20" s="3" t="inlineStr">
        <is>
          <t>Burger Duo</t>
        </is>
      </c>
      <c r="B20" s="4" t="n"/>
      <c r="C20" s="4" t="n"/>
      <c r="D20" s="4" t="n"/>
      <c r="E20" s="4" t="n"/>
      <c r="F20" s="4" t="n"/>
      <c r="G20" s="4" t="n"/>
      <c r="H20" s="4" t="n"/>
      <c r="I20" s="4" t="n">
        <v>0</v>
      </c>
      <c r="J20" s="8">
        <f>SUM(H21:H22)</f>
        <v/>
      </c>
      <c r="K20" s="9">
        <f>IF(I20&gt;0,(I20-J20)/I20*100,0)</f>
        <v/>
      </c>
    </row>
    <row r="21">
      <c r="B21" s="5" t="inlineStr">
        <is>
          <t>Hamburguesa Sencilla (armada)</t>
        </is>
      </c>
      <c r="C21" t="inlineStr">
        <is>
          <t>sub_receta</t>
        </is>
      </c>
      <c r="D21" t="n">
        <v>2</v>
      </c>
      <c r="E21" t="inlineStr">
        <is>
          <t>unidad</t>
        </is>
      </c>
      <c r="G21" s="6">
        <f>'Sub-Productos'!I78</f>
        <v/>
      </c>
      <c r="H21" s="6">
        <f>D21*G21</f>
        <v/>
      </c>
    </row>
    <row r="22">
      <c r="B22" s="5" t="inlineStr">
        <is>
          <t>Papa Sazonada</t>
        </is>
      </c>
      <c r="C22" t="inlineStr">
        <is>
          <t>sub_receta</t>
        </is>
      </c>
      <c r="D22" t="n">
        <v>2</v>
      </c>
      <c r="E22" t="inlineStr">
        <is>
          <t>porcion</t>
        </is>
      </c>
      <c r="G22" s="6">
        <f>'Sub-Productos'!I114</f>
        <v/>
      </c>
      <c r="H22" s="6">
        <f>D22*G22</f>
        <v/>
      </c>
    </row>
    <row r="23"/>
    <row r="24">
      <c r="A24" s="3" t="inlineStr">
        <is>
          <t>Chili Duo</t>
        </is>
      </c>
      <c r="B24" s="4" t="n"/>
      <c r="C24" s="4" t="n"/>
      <c r="D24" s="4" t="n"/>
      <c r="E24" s="4" t="n"/>
      <c r="F24" s="4" t="n"/>
      <c r="G24" s="4" t="n"/>
      <c r="H24" s="4" t="n"/>
      <c r="I24" s="4" t="n">
        <v>0</v>
      </c>
      <c r="J24" s="8">
        <f>SUM(H25:H30)</f>
        <v/>
      </c>
      <c r="K24" s="9">
        <f>IF(I24&gt;0,(I24-J24)/I24*100,0)</f>
        <v/>
      </c>
    </row>
    <row r="25">
      <c r="B25" s="5" t="inlineStr">
        <is>
          <t>Chilli dog individual</t>
        </is>
      </c>
      <c r="C25" t="inlineStr">
        <is>
          <t>sub_receta</t>
        </is>
      </c>
      <c r="D25" t="n">
        <v>2</v>
      </c>
      <c r="E25" t="inlineStr">
        <is>
          <t>porcion</t>
        </is>
      </c>
      <c r="G25" t="n">
        <v>0.7159</v>
      </c>
      <c r="H25" s="6">
        <f>D25*G25</f>
        <v/>
      </c>
    </row>
    <row r="26">
      <c r="B26" s="5" t="inlineStr">
        <is>
          <t>Chili</t>
        </is>
      </c>
      <c r="C26" t="inlineStr">
        <is>
          <t>sub_receta</t>
        </is>
      </c>
      <c r="D26" t="n">
        <v>0.25</v>
      </c>
      <c r="E26" t="inlineStr">
        <is>
          <t>bolsa</t>
        </is>
      </c>
      <c r="G26" s="6">
        <f>'Sub-Productos'!I40</f>
        <v/>
      </c>
      <c r="H26" s="6">
        <f>D26*G26</f>
        <v/>
      </c>
    </row>
    <row r="27">
      <c r="B27" s="5" t="inlineStr">
        <is>
          <t>Aros de Cebolla</t>
        </is>
      </c>
      <c r="C27" t="inlineStr">
        <is>
          <t>sub_receta</t>
        </is>
      </c>
      <c r="D27" t="n">
        <v>1</v>
      </c>
      <c r="E27" t="inlineStr">
        <is>
          <t>porcion</t>
        </is>
      </c>
      <c r="G27" t="n">
        <v>0.2016</v>
      </c>
      <c r="H27" s="6">
        <f>D27*G27</f>
        <v/>
      </c>
    </row>
    <row r="28">
      <c r="B28" s="5" t="inlineStr">
        <is>
          <t>Papa Sazonada</t>
        </is>
      </c>
      <c r="C28" t="inlineStr">
        <is>
          <t>sub_receta</t>
        </is>
      </c>
      <c r="D28" t="n">
        <v>2</v>
      </c>
      <c r="E28" t="inlineStr">
        <is>
          <t>porcion</t>
        </is>
      </c>
      <c r="G28" s="6">
        <f>'Sub-Productos'!I114</f>
        <v/>
      </c>
      <c r="H28" s="6">
        <f>D28*G28</f>
        <v/>
      </c>
    </row>
    <row r="29">
      <c r="B29" s="5" t="inlineStr">
        <is>
          <t>Cebolla Blanca</t>
        </is>
      </c>
      <c r="C29" t="inlineStr">
        <is>
          <t>sub_receta</t>
        </is>
      </c>
      <c r="D29" t="n">
        <v>0.0625</v>
      </c>
      <c r="E29" t="inlineStr">
        <is>
          <t>bolsa</t>
        </is>
      </c>
      <c r="G29" s="6">
        <f>'Sub-Productos'!I5</f>
        <v/>
      </c>
      <c r="H29" s="6">
        <f>D29*G29</f>
        <v/>
      </c>
    </row>
    <row r="30">
      <c r="B30" s="5" t="inlineStr">
        <is>
          <t>Jalapeños bote</t>
        </is>
      </c>
      <c r="C30" t="inlineStr">
        <is>
          <t>ingrediente</t>
        </is>
      </c>
      <c r="D30" t="n">
        <v>2</v>
      </c>
      <c r="E30" t="inlineStr">
        <is>
          <t>oz</t>
        </is>
      </c>
      <c r="G30" s="6">
        <f>IFERROR(VLOOKUP(B30,'Materia Prima'!B:E,4,FALSE),0)</f>
        <v/>
      </c>
      <c r="H30" s="6">
        <f>D30*G30</f>
        <v/>
      </c>
    </row>
    <row r="31"/>
    <row r="32">
      <c r="A32" s="3" t="inlineStr">
        <is>
          <t>Chili Mini Fancys</t>
        </is>
      </c>
      <c r="B32" s="4" t="n"/>
      <c r="C32" s="4" t="n"/>
      <c r="D32" s="4" t="n"/>
      <c r="E32" s="4" t="n"/>
      <c r="F32" s="4" t="n"/>
      <c r="G32" s="4" t="n"/>
      <c r="H32" s="4" t="n"/>
      <c r="I32" s="4" t="n">
        <v>0</v>
      </c>
      <c r="J32" s="8">
        <f>SUM(H33:H34)</f>
        <v/>
      </c>
      <c r="K32" s="9">
        <f>IF(I32&gt;0,(I32-J32)/I32*100,0)</f>
        <v/>
      </c>
    </row>
    <row r="33">
      <c r="B33" s="5" t="inlineStr">
        <is>
          <t>Mini Fancy</t>
        </is>
      </c>
      <c r="C33" t="inlineStr">
        <is>
          <t>sub_receta</t>
        </is>
      </c>
      <c r="D33" t="n">
        <v>1</v>
      </c>
      <c r="E33" t="inlineStr">
        <is>
          <t>porcion</t>
        </is>
      </c>
      <c r="G33" s="6">
        <f>'Sub-Productos'!I106</f>
        <v/>
      </c>
      <c r="H33" s="6">
        <f>D33*G33</f>
        <v/>
      </c>
    </row>
    <row r="34">
      <c r="B34" s="5" t="inlineStr">
        <is>
          <t>Chili</t>
        </is>
      </c>
      <c r="C34" t="inlineStr">
        <is>
          <t>sub_receta</t>
        </is>
      </c>
      <c r="D34" t="n">
        <v>0.0625</v>
      </c>
      <c r="E34" t="inlineStr">
        <is>
          <t>bolsa</t>
        </is>
      </c>
      <c r="G34" s="6">
        <f>'Sub-Productos'!I40</f>
        <v/>
      </c>
      <c r="H34" s="6">
        <f>D34*G34</f>
        <v/>
      </c>
    </row>
    <row r="35"/>
    <row r="36">
      <c r="A36" s="3" t="inlineStr">
        <is>
          <t>Chili Mini Fancys</t>
        </is>
      </c>
      <c r="B36" s="4" t="n"/>
      <c r="C36" s="4" t="n"/>
      <c r="D36" s="4" t="n"/>
      <c r="E36" s="4" t="n"/>
      <c r="F36" s="4" t="n"/>
      <c r="G36" s="4" t="n"/>
      <c r="H36" s="4" t="n"/>
      <c r="I36" s="4" t="n">
        <v>4.99</v>
      </c>
      <c r="J36" s="8" t="n">
        <v>0</v>
      </c>
      <c r="K36" s="9">
        <f>IF(I36&gt;0,(I36-J36)/I36*100,0)</f>
        <v/>
      </c>
    </row>
    <row r="37"/>
    <row r="38">
      <c r="A38" s="3" t="inlineStr">
        <is>
          <t>Chili porción</t>
        </is>
      </c>
      <c r="B38" s="4" t="n"/>
      <c r="C38" s="4" t="n"/>
      <c r="D38" s="4" t="n"/>
      <c r="E38" s="4" t="n"/>
      <c r="F38" s="4" t="n"/>
      <c r="G38" s="4" t="n"/>
      <c r="H38" s="4" t="n"/>
      <c r="I38" s="4" t="n">
        <v>0</v>
      </c>
      <c r="J38" s="8">
        <f>SUM(H39:H39)</f>
        <v/>
      </c>
      <c r="K38" s="9">
        <f>IF(I38&gt;0,(I38-J38)/I38*100,0)</f>
        <v/>
      </c>
    </row>
    <row r="39">
      <c r="B39" s="5" t="inlineStr">
        <is>
          <t>Chili</t>
        </is>
      </c>
      <c r="C39" t="inlineStr">
        <is>
          <t>sub_receta</t>
        </is>
      </c>
      <c r="D39" t="n">
        <v>0.125</v>
      </c>
      <c r="E39" t="inlineStr">
        <is>
          <t>bolsa</t>
        </is>
      </c>
      <c r="G39" s="6">
        <f>'Sub-Productos'!I40</f>
        <v/>
      </c>
      <c r="H39" s="6">
        <f>D39*G39</f>
        <v/>
      </c>
    </row>
    <row r="40"/>
    <row r="41">
      <c r="A41" s="3" t="inlineStr">
        <is>
          <t>Chilli Dog</t>
        </is>
      </c>
      <c r="B41" s="4" t="n"/>
      <c r="C41" s="4" t="n"/>
      <c r="D41" s="4" t="n"/>
      <c r="E41" s="4" t="n"/>
      <c r="F41" s="4" t="n"/>
      <c r="G41" s="4" t="n"/>
      <c r="H41" s="4" t="n"/>
      <c r="I41" s="4" t="n">
        <v>0</v>
      </c>
      <c r="J41" s="8">
        <f>SUM(H42:H42)</f>
        <v/>
      </c>
      <c r="K41" s="9">
        <f>IF(I41&gt;0,(I41-J41)/I41*100,0)</f>
        <v/>
      </c>
    </row>
    <row r="42">
      <c r="B42" s="5" t="inlineStr">
        <is>
          <t>Chilli dog individual</t>
        </is>
      </c>
      <c r="C42" t="inlineStr">
        <is>
          <t>sub_receta</t>
        </is>
      </c>
      <c r="D42" t="n">
        <v>1</v>
      </c>
      <c r="E42" t="inlineStr">
        <is>
          <t>porcion</t>
        </is>
      </c>
      <c r="G42" t="n">
        <v>0.7159</v>
      </c>
      <c r="H42" s="6">
        <f>D42*G42</f>
        <v/>
      </c>
    </row>
    <row r="43"/>
    <row r="44">
      <c r="A44" s="3" t="inlineStr">
        <is>
          <t>Chilli dog individual</t>
        </is>
      </c>
      <c r="B44" s="4" t="n"/>
      <c r="C44" s="4" t="n"/>
      <c r="D44" s="4" t="n"/>
      <c r="E44" s="4" t="n"/>
      <c r="F44" s="4" t="n"/>
      <c r="G44" s="4" t="n"/>
      <c r="H44" s="4" t="n"/>
      <c r="I44" s="4" t="n">
        <v>2.99</v>
      </c>
      <c r="J44" s="8">
        <f>SUM(H45:H48)</f>
        <v/>
      </c>
      <c r="K44" s="9">
        <f>IF(I44&gt;0,(I44-J44)/I44*100,0)</f>
        <v/>
      </c>
    </row>
    <row r="45">
      <c r="B45" s="5" t="inlineStr">
        <is>
          <t>Cheddar Porcionado (Bolsa 2lb)</t>
        </is>
      </c>
      <c r="C45" t="inlineStr">
        <is>
          <t>sub_receta</t>
        </is>
      </c>
      <c r="D45" t="n">
        <v>1</v>
      </c>
      <c r="E45" t="inlineStr">
        <is>
          <t>bolsa</t>
        </is>
      </c>
      <c r="F45" t="n">
        <v>0.03125</v>
      </c>
      <c r="G45" s="6">
        <f>'Sub-Productos'!I15</f>
        <v/>
      </c>
      <c r="H45" s="6">
        <f>D45*G45*F45</f>
        <v/>
      </c>
    </row>
    <row r="46">
      <c r="B46" s="5" t="inlineStr">
        <is>
          <t>Salchicha Parowsi paquete 25 unidades</t>
        </is>
      </c>
      <c r="C46" t="inlineStr">
        <is>
          <t>ingrediente</t>
        </is>
      </c>
      <c r="D46" t="n">
        <v>1</v>
      </c>
      <c r="E46" t="inlineStr">
        <is>
          <t>paquete</t>
        </is>
      </c>
      <c r="F46" t="n">
        <v>0.04</v>
      </c>
      <c r="G46" s="6">
        <f>IFERROR(VLOOKUP(B46,'Materia Prima'!B:E,4,FALSE),0)</f>
        <v/>
      </c>
      <c r="H46" s="6">
        <f>D46*G46*F46</f>
        <v/>
      </c>
    </row>
    <row r="47">
      <c r="B47" s="5" t="inlineStr">
        <is>
          <t>Pan Hot Dog Berna bolsa 10 unidades</t>
        </is>
      </c>
      <c r="C47" t="inlineStr">
        <is>
          <t>ingrediente</t>
        </is>
      </c>
      <c r="D47" t="n">
        <v>1</v>
      </c>
      <c r="E47" t="inlineStr">
        <is>
          <t>bolsa</t>
        </is>
      </c>
      <c r="F47" t="n">
        <v>0.1</v>
      </c>
      <c r="G47" s="6">
        <f>IFERROR(VLOOKUP(B47,'Materia Prima'!B:E,4,FALSE),0)</f>
        <v/>
      </c>
      <c r="H47" s="6">
        <f>D47*G47*F47</f>
        <v/>
      </c>
    </row>
    <row r="48">
      <c r="B48" s="5" t="inlineStr">
        <is>
          <t>Chili</t>
        </is>
      </c>
      <c r="C48" t="inlineStr">
        <is>
          <t>sub_receta</t>
        </is>
      </c>
      <c r="D48" t="n">
        <v>0.0625</v>
      </c>
      <c r="E48" t="inlineStr">
        <is>
          <t>bolsa</t>
        </is>
      </c>
      <c r="G48" s="6">
        <f>'Sub-Productos'!I40</f>
        <v/>
      </c>
      <c r="H48" s="6">
        <f>D48*G48</f>
        <v/>
      </c>
    </row>
    <row r="49"/>
    <row r="50">
      <c r="A50" s="3" t="inlineStr">
        <is>
          <t>Coca-Cola Combo</t>
        </is>
      </c>
      <c r="B50" s="4" t="n"/>
      <c r="C50" s="4" t="n"/>
      <c r="D50" s="4" t="n"/>
      <c r="E50" s="4" t="n"/>
      <c r="F50" s="4" t="n"/>
      <c r="G50" s="4" t="n"/>
      <c r="H50" s="4" t="n"/>
      <c r="I50" s="4" t="n">
        <v>0</v>
      </c>
      <c r="J50" s="8">
        <f>SUM(H51:H52)</f>
        <v/>
      </c>
      <c r="K50" s="9">
        <f>IF(I50&gt;0,(I50-J50)/I50*100,0)</f>
        <v/>
      </c>
    </row>
    <row r="51">
      <c r="B51" s="5" t="inlineStr">
        <is>
          <t>Freakie Dog armado</t>
        </is>
      </c>
      <c r="C51" t="inlineStr">
        <is>
          <t>sub_receta</t>
        </is>
      </c>
      <c r="D51" t="n">
        <v>1</v>
      </c>
      <c r="E51" t="inlineStr">
        <is>
          <t>unidad</t>
        </is>
      </c>
      <c r="G51" s="6">
        <f>'Sub-Productos'!I67</f>
        <v/>
      </c>
      <c r="H51" s="6">
        <f>D51*G51</f>
        <v/>
      </c>
    </row>
    <row r="52">
      <c r="B52" s="5" t="inlineStr">
        <is>
          <t>Papa Sazonada</t>
        </is>
      </c>
      <c r="C52" t="inlineStr">
        <is>
          <t>sub_receta</t>
        </is>
      </c>
      <c r="D52" t="n">
        <v>1</v>
      </c>
      <c r="E52" t="inlineStr">
        <is>
          <t>porcion</t>
        </is>
      </c>
      <c r="G52" s="6">
        <f>'Sub-Productos'!I114</f>
        <v/>
      </c>
      <c r="H52" s="6">
        <f>D52*G52</f>
        <v/>
      </c>
    </row>
    <row r="53"/>
    <row r="54">
      <c r="A54" s="3" t="inlineStr">
        <is>
          <t>Coca-Cola Combo XL</t>
        </is>
      </c>
      <c r="B54" s="4" t="n"/>
      <c r="C54" s="4" t="n"/>
      <c r="D54" s="4" t="n"/>
      <c r="E54" s="4" t="n"/>
      <c r="F54" s="4" t="n"/>
      <c r="G54" s="4" t="n"/>
      <c r="H54" s="4" t="n"/>
      <c r="I54" s="4" t="n">
        <v>0</v>
      </c>
      <c r="J54" s="8">
        <f>SUM(H55:H57)</f>
        <v/>
      </c>
      <c r="K54" s="9">
        <f>IF(I54&gt;0,(I54-J54)/I54*100,0)</f>
        <v/>
      </c>
    </row>
    <row r="55">
      <c r="B55" s="5" t="inlineStr">
        <is>
          <t>Freakie Dog armado</t>
        </is>
      </c>
      <c r="C55" t="inlineStr">
        <is>
          <t>sub_receta</t>
        </is>
      </c>
      <c r="D55" t="n">
        <v>2</v>
      </c>
      <c r="E55" t="inlineStr">
        <is>
          <t>unidad</t>
        </is>
      </c>
      <c r="G55" s="6">
        <f>'Sub-Productos'!I67</f>
        <v/>
      </c>
      <c r="H55" s="6">
        <f>D55*G55</f>
        <v/>
      </c>
    </row>
    <row r="56">
      <c r="B56" s="5" t="inlineStr">
        <is>
          <t>Papa Sazonada</t>
        </is>
      </c>
      <c r="C56" t="inlineStr">
        <is>
          <t>sub_receta</t>
        </is>
      </c>
      <c r="D56" t="n">
        <v>1</v>
      </c>
      <c r="E56" t="inlineStr">
        <is>
          <t>porcion</t>
        </is>
      </c>
      <c r="G56" s="6">
        <f>'Sub-Productos'!I114</f>
        <v/>
      </c>
      <c r="H56" s="6">
        <f>D56*G56</f>
        <v/>
      </c>
    </row>
    <row r="57">
      <c r="B57" s="5" t="inlineStr">
        <is>
          <t>Jalapeños bote</t>
        </is>
      </c>
      <c r="C57" t="inlineStr">
        <is>
          <t>ingrediente</t>
        </is>
      </c>
      <c r="D57" t="n">
        <v>2</v>
      </c>
      <c r="E57" t="inlineStr">
        <is>
          <t>oz</t>
        </is>
      </c>
      <c r="G57" s="6">
        <f>IFERROR(VLOOKUP(B57,'Materia Prima'!B:E,4,FALSE),0)</f>
        <v/>
      </c>
      <c r="H57" s="6">
        <f>D57*G57</f>
        <v/>
      </c>
    </row>
    <row r="58"/>
    <row r="59">
      <c r="A59" s="3" t="inlineStr">
        <is>
          <t>Combig</t>
        </is>
      </c>
      <c r="B59" s="4" t="n"/>
      <c r="C59" s="4" t="n"/>
      <c r="D59" s="4" t="n"/>
      <c r="E59" s="4" t="n"/>
      <c r="F59" s="4" t="n"/>
      <c r="G59" s="4" t="n"/>
      <c r="H59" s="4" t="n"/>
      <c r="I59" s="4" t="n">
        <v>0</v>
      </c>
      <c r="J59" s="8">
        <f>SUM(H60:H65)</f>
        <v/>
      </c>
      <c r="K59" s="9">
        <f>IF(I59&gt;0,(I59-J59)/I59*100,0)</f>
        <v/>
      </c>
    </row>
    <row r="60">
      <c r="B60" s="5" t="inlineStr">
        <is>
          <t>Hamburguesa Sencilla (armada)</t>
        </is>
      </c>
      <c r="C60" t="inlineStr">
        <is>
          <t>sub_receta</t>
        </is>
      </c>
      <c r="D60" t="n">
        <v>2</v>
      </c>
      <c r="E60" t="inlineStr">
        <is>
          <t>unidad</t>
        </is>
      </c>
      <c r="G60" s="6">
        <f>'Sub-Productos'!I78</f>
        <v/>
      </c>
      <c r="H60" s="6">
        <f>D60*G60</f>
        <v/>
      </c>
    </row>
    <row r="61">
      <c r="B61" s="5" t="inlineStr">
        <is>
          <t>Freakie Dog armado</t>
        </is>
      </c>
      <c r="C61" t="inlineStr">
        <is>
          <t>sub_receta</t>
        </is>
      </c>
      <c r="D61" t="n">
        <v>2</v>
      </c>
      <c r="E61" t="inlineStr">
        <is>
          <t>unidad</t>
        </is>
      </c>
      <c r="G61" s="6">
        <f>'Sub-Productos'!I67</f>
        <v/>
      </c>
      <c r="H61" s="6">
        <f>D61*G61</f>
        <v/>
      </c>
    </row>
    <row r="62">
      <c r="B62" s="5" t="inlineStr">
        <is>
          <t>Queso para dorar</t>
        </is>
      </c>
      <c r="C62" t="inlineStr">
        <is>
          <t>ingrediente</t>
        </is>
      </c>
      <c r="D62" t="n">
        <v>0.3</v>
      </c>
      <c r="E62" t="inlineStr">
        <is>
          <t>lb</t>
        </is>
      </c>
      <c r="G62" s="6">
        <f>IFERROR(VLOOKUP(B62,'Materia Prima'!B:E,4,FALSE),0)</f>
        <v/>
      </c>
      <c r="H62" s="6">
        <f>D62*G62</f>
        <v/>
      </c>
    </row>
    <row r="63">
      <c r="B63" s="5" t="inlineStr">
        <is>
          <t>Papa Sazonada</t>
        </is>
      </c>
      <c r="C63" t="inlineStr">
        <is>
          <t>sub_receta</t>
        </is>
      </c>
      <c r="D63" t="n">
        <v>2</v>
      </c>
      <c r="E63" t="inlineStr">
        <is>
          <t>porcion</t>
        </is>
      </c>
      <c r="G63" s="6">
        <f>'Sub-Productos'!I114</f>
        <v/>
      </c>
      <c r="H63" s="6">
        <f>D63*G63</f>
        <v/>
      </c>
    </row>
    <row r="64">
      <c r="B64" s="5" t="inlineStr">
        <is>
          <t>PAPA WAFFLE NAT CAJA 6/4.5 LBS</t>
        </is>
      </c>
      <c r="C64" t="inlineStr">
        <is>
          <t>ingrediente</t>
        </is>
      </c>
      <c r="D64" t="n">
        <v>0.35</v>
      </c>
      <c r="E64" t="inlineStr">
        <is>
          <t>libra</t>
        </is>
      </c>
      <c r="G64" s="6">
        <f>IFERROR(VLOOKUP(B64,'Materia Prima'!B:E,4,FALSE),0)</f>
        <v/>
      </c>
      <c r="H64" s="6">
        <f>D64*G64</f>
        <v/>
      </c>
    </row>
    <row r="65">
      <c r="B65" s="5" t="inlineStr">
        <is>
          <t>Papa Blanca 20lb</t>
        </is>
      </c>
      <c r="C65" t="inlineStr">
        <is>
          <t>ingrediente</t>
        </is>
      </c>
      <c r="D65" t="n">
        <v>0.35</v>
      </c>
      <c r="E65" t="inlineStr">
        <is>
          <t>lb</t>
        </is>
      </c>
      <c r="G65" s="6">
        <f>IFERROR(VLOOKUP(B65,'Materia Prima'!B:E,4,FALSE),0)</f>
        <v/>
      </c>
      <c r="H65" s="6">
        <f>D65*G65</f>
        <v/>
      </c>
    </row>
    <row r="66"/>
    <row r="67">
      <c r="A67" s="3" t="inlineStr">
        <is>
          <t>Combo Chilli Dog</t>
        </is>
      </c>
      <c r="B67" s="4" t="n"/>
      <c r="C67" s="4" t="n"/>
      <c r="D67" s="4" t="n"/>
      <c r="E67" s="4" t="n"/>
      <c r="F67" s="4" t="n"/>
      <c r="G67" s="4" t="n"/>
      <c r="H67" s="4" t="n"/>
      <c r="I67" s="4" t="n">
        <v>0</v>
      </c>
      <c r="J67" s="8">
        <f>SUM(H68:H70)</f>
        <v/>
      </c>
      <c r="K67" s="9">
        <f>IF(I67&gt;0,(I67-J67)/I67*100,0)</f>
        <v/>
      </c>
    </row>
    <row r="68">
      <c r="B68" s="5" t="inlineStr">
        <is>
          <t>Freakie Dog armado</t>
        </is>
      </c>
      <c r="C68" t="inlineStr">
        <is>
          <t>sub_receta</t>
        </is>
      </c>
      <c r="D68" t="n">
        <v>1</v>
      </c>
      <c r="E68" t="inlineStr">
        <is>
          <t>unidad</t>
        </is>
      </c>
      <c r="G68" s="6">
        <f>'Sub-Productos'!I67</f>
        <v/>
      </c>
      <c r="H68" s="6">
        <f>D68*G68</f>
        <v/>
      </c>
    </row>
    <row r="69">
      <c r="B69" s="5" t="inlineStr">
        <is>
          <t>Papa Sazonada</t>
        </is>
      </c>
      <c r="C69" t="inlineStr">
        <is>
          <t>sub_receta</t>
        </is>
      </c>
      <c r="D69" t="n">
        <v>1</v>
      </c>
      <c r="E69" t="inlineStr">
        <is>
          <t>porcion</t>
        </is>
      </c>
      <c r="G69" s="6">
        <f>'Sub-Productos'!I114</f>
        <v/>
      </c>
      <c r="H69" s="6">
        <f>D69*G69</f>
        <v/>
      </c>
    </row>
    <row r="70">
      <c r="B70" s="5" t="inlineStr">
        <is>
          <t>Chili</t>
        </is>
      </c>
      <c r="C70" t="inlineStr">
        <is>
          <t>sub_receta</t>
        </is>
      </c>
      <c r="D70" t="n">
        <v>0.0625</v>
      </c>
      <c r="E70" t="inlineStr">
        <is>
          <t>bolsa</t>
        </is>
      </c>
      <c r="G70" s="6">
        <f>'Sub-Productos'!I40</f>
        <v/>
      </c>
      <c r="H70" s="6">
        <f>D70*G70</f>
        <v/>
      </c>
    </row>
    <row r="71"/>
    <row r="72">
      <c r="A72" s="3" t="inlineStr">
        <is>
          <t>Combo Chilli Dog</t>
        </is>
      </c>
      <c r="B72" s="4" t="n"/>
      <c r="C72" s="4" t="n"/>
      <c r="D72" s="4" t="n"/>
      <c r="E72" s="4" t="n"/>
      <c r="F72" s="4" t="n"/>
      <c r="G72" s="4" t="n"/>
      <c r="H72" s="4" t="n"/>
      <c r="I72" s="4" t="n">
        <v>6.08</v>
      </c>
      <c r="J72" s="8" t="n">
        <v>0</v>
      </c>
      <c r="K72" s="9">
        <f>IF(I72&gt;0,(I72-J72)/I72*100,0)</f>
        <v/>
      </c>
    </row>
    <row r="73"/>
    <row r="74">
      <c r="A74" s="3" t="inlineStr">
        <is>
          <t>Combo Duo</t>
        </is>
      </c>
      <c r="B74" s="4" t="n"/>
      <c r="C74" s="4" t="n"/>
      <c r="D74" s="4" t="n"/>
      <c r="E74" s="4" t="n"/>
      <c r="F74" s="4" t="n"/>
      <c r="G74" s="4" t="n"/>
      <c r="H74" s="4" t="n"/>
      <c r="I74" s="4" t="n">
        <v>0</v>
      </c>
      <c r="J74" s="8">
        <f>SUM(H75:H76)</f>
        <v/>
      </c>
      <c r="K74" s="9">
        <f>IF(I74&gt;0,(I74-J74)/I74*100,0)</f>
        <v/>
      </c>
    </row>
    <row r="75">
      <c r="B75" s="5" t="inlineStr">
        <is>
          <t>Freakie Dog armado</t>
        </is>
      </c>
      <c r="C75" t="inlineStr">
        <is>
          <t>sub_receta</t>
        </is>
      </c>
      <c r="D75" t="n">
        <v>2</v>
      </c>
      <c r="E75" t="inlineStr">
        <is>
          <t>unidad</t>
        </is>
      </c>
      <c r="G75" s="6">
        <f>'Sub-Productos'!I67</f>
        <v/>
      </c>
      <c r="H75" s="6">
        <f>D75*G75</f>
        <v/>
      </c>
    </row>
    <row r="76">
      <c r="B76" s="5" t="inlineStr">
        <is>
          <t>Papa Sazonada</t>
        </is>
      </c>
      <c r="C76" t="inlineStr">
        <is>
          <t>sub_receta</t>
        </is>
      </c>
      <c r="D76" t="n">
        <v>2</v>
      </c>
      <c r="E76" t="inlineStr">
        <is>
          <t>porcion</t>
        </is>
      </c>
      <c r="G76" s="6">
        <f>'Sub-Productos'!I114</f>
        <v/>
      </c>
      <c r="H76" s="6">
        <f>D76*G76</f>
        <v/>
      </c>
    </row>
    <row r="77"/>
    <row r="78">
      <c r="A78" s="3" t="inlineStr">
        <is>
          <t>Combo Fancy Duo</t>
        </is>
      </c>
      <c r="B78" s="4" t="n"/>
      <c r="C78" s="4" t="n"/>
      <c r="D78" s="4" t="n"/>
      <c r="E78" s="4" t="n"/>
      <c r="F78" s="4" t="n"/>
      <c r="G78" s="4" t="n"/>
      <c r="H78" s="4" t="n"/>
      <c r="I78" s="4" t="n">
        <v>0</v>
      </c>
      <c r="J78" s="8">
        <f>SUM(H79:H81)</f>
        <v/>
      </c>
      <c r="K78" s="9">
        <f>IF(I78&gt;0,(I78-J78)/I78*100,0)</f>
        <v/>
      </c>
    </row>
    <row r="79">
      <c r="B79" s="5" t="inlineStr">
        <is>
          <t>Freakie Dog armado</t>
        </is>
      </c>
      <c r="C79" t="inlineStr">
        <is>
          <t>sub_receta</t>
        </is>
      </c>
      <c r="D79" t="n">
        <v>2</v>
      </c>
      <c r="E79" t="inlineStr">
        <is>
          <t>unidad</t>
        </is>
      </c>
      <c r="G79" s="6">
        <f>'Sub-Productos'!I67</f>
        <v/>
      </c>
      <c r="H79" s="6">
        <f>D79*G79</f>
        <v/>
      </c>
    </row>
    <row r="80">
      <c r="B80" s="5" t="inlineStr">
        <is>
          <t>PAPA WAFFLE NAT CAJA 6/4.5 LBS</t>
        </is>
      </c>
      <c r="C80" t="inlineStr">
        <is>
          <t>ingrediente</t>
        </is>
      </c>
      <c r="D80" t="n">
        <v>0.35</v>
      </c>
      <c r="E80" t="inlineStr">
        <is>
          <t>libra</t>
        </is>
      </c>
      <c r="G80" s="6">
        <f>IFERROR(VLOOKUP(B80,'Materia Prima'!B:E,4,FALSE),0)</f>
        <v/>
      </c>
      <c r="H80" s="6">
        <f>D80*G80</f>
        <v/>
      </c>
    </row>
    <row r="81">
      <c r="B81" s="5" t="inlineStr">
        <is>
          <t>Papa Blanca 20lb</t>
        </is>
      </c>
      <c r="C81" t="inlineStr">
        <is>
          <t>ingrediente</t>
        </is>
      </c>
      <c r="D81" t="n">
        <v>0.35</v>
      </c>
      <c r="E81" t="inlineStr">
        <is>
          <t>lb</t>
        </is>
      </c>
      <c r="G81" s="6">
        <f>IFERROR(VLOOKUP(B81,'Materia Prima'!B:E,4,FALSE),0)</f>
        <v/>
      </c>
      <c r="H81" s="6">
        <f>D81*G81</f>
        <v/>
      </c>
    </row>
    <row r="82"/>
    <row r="83">
      <c r="A83" s="3" t="inlineStr">
        <is>
          <t>Combo Freakie Dog</t>
        </is>
      </c>
      <c r="B83" s="4" t="n"/>
      <c r="C83" s="4" t="n"/>
      <c r="D83" s="4" t="n"/>
      <c r="E83" s="4" t="n"/>
      <c r="F83" s="4" t="n"/>
      <c r="G83" s="4" t="n"/>
      <c r="H83" s="4" t="n"/>
      <c r="I83" s="4" t="n">
        <v>4.08</v>
      </c>
      <c r="J83" s="8">
        <f>SUM(H84:H88)</f>
        <v/>
      </c>
      <c r="K83" s="9">
        <f>IF(I83&gt;0,(I83-J83)/I83*100,0)</f>
        <v/>
      </c>
    </row>
    <row r="84">
      <c r="B84" s="5" t="inlineStr">
        <is>
          <t>Escabeche</t>
        </is>
      </c>
      <c r="C84" t="inlineStr">
        <is>
          <t>sub_receta</t>
        </is>
      </c>
      <c r="D84" t="n">
        <v>1</v>
      </c>
      <c r="E84" t="inlineStr">
        <is>
          <t>bolsa</t>
        </is>
      </c>
      <c r="G84" s="6">
        <f>'Sub-Productos'!I49</f>
        <v/>
      </c>
      <c r="H84" s="6">
        <f>D84*G84</f>
        <v/>
      </c>
    </row>
    <row r="85">
      <c r="B85" s="5" t="inlineStr">
        <is>
          <t>325026-MCX03621 MC REDSTONE</t>
        </is>
      </c>
      <c r="C85" t="inlineStr">
        <is>
          <t>ingrediente</t>
        </is>
      </c>
      <c r="D85" t="n">
        <v>0.024</v>
      </c>
      <c r="E85" t="inlineStr">
        <is>
          <t>Caja</t>
        </is>
      </c>
      <c r="G85" s="6">
        <f>IFERROR(VLOOKUP(B85,'Materia Prima'!B:E,4,FALSE),0)</f>
        <v/>
      </c>
      <c r="H85" s="6">
        <f>D85*G85</f>
        <v/>
      </c>
    </row>
    <row r="86">
      <c r="B86" s="5" t="inlineStr">
        <is>
          <t>Gaseosa Coca-Cola Vr 354ml 1x24 un</t>
        </is>
      </c>
      <c r="C86" t="inlineStr">
        <is>
          <t>ingrediente</t>
        </is>
      </c>
      <c r="D86" t="n">
        <v>1</v>
      </c>
      <c r="E86" t="inlineStr">
        <is>
          <t>Caja</t>
        </is>
      </c>
      <c r="G86" s="6">
        <f>IFERROR(VLOOKUP(B86,'Materia Prima'!B:E,4,FALSE),0)</f>
        <v/>
      </c>
      <c r="H86" s="6">
        <f>D86*G86</f>
        <v/>
      </c>
    </row>
    <row r="87">
      <c r="B87" s="5" t="inlineStr">
        <is>
          <t>Salchicha Parowsi paquete 25 unidades</t>
        </is>
      </c>
      <c r="C87" t="inlineStr">
        <is>
          <t>ingrediente</t>
        </is>
      </c>
      <c r="D87" t="n">
        <v>1</v>
      </c>
      <c r="E87" t="inlineStr">
        <is>
          <t>paquete</t>
        </is>
      </c>
      <c r="F87" t="n">
        <v>0.04</v>
      </c>
      <c r="G87" s="6">
        <f>IFERROR(VLOOKUP(B87,'Materia Prima'!B:E,4,FALSE),0)</f>
        <v/>
      </c>
      <c r="H87" s="6">
        <f>D87*G87*F87</f>
        <v/>
      </c>
    </row>
    <row r="88">
      <c r="B88" s="5" t="inlineStr">
        <is>
          <t>Pan Hot Dog Berna bolsa 10 unidades</t>
        </is>
      </c>
      <c r="C88" t="inlineStr">
        <is>
          <t>ingrediente</t>
        </is>
      </c>
      <c r="D88" t="n">
        <v>1</v>
      </c>
      <c r="E88" t="inlineStr">
        <is>
          <t>bolsa</t>
        </is>
      </c>
      <c r="F88" t="n">
        <v>0.1</v>
      </c>
      <c r="G88" s="6">
        <f>IFERROR(VLOOKUP(B88,'Materia Prima'!B:E,4,FALSE),0)</f>
        <v/>
      </c>
      <c r="H88" s="6">
        <f>D88*G88*F88</f>
        <v/>
      </c>
    </row>
    <row r="89"/>
    <row r="90">
      <c r="A90" s="3" t="inlineStr">
        <is>
          <t>Combo Freakie Dog</t>
        </is>
      </c>
      <c r="B90" s="4" t="n"/>
      <c r="C90" s="4" t="n"/>
      <c r="D90" s="4" t="n"/>
      <c r="E90" s="4" t="n"/>
      <c r="F90" s="4" t="n"/>
      <c r="G90" s="4" t="n"/>
      <c r="H90" s="4" t="n"/>
      <c r="I90" s="4" t="n">
        <v>0</v>
      </c>
      <c r="J90" s="8">
        <f>SUM(H91:H92)</f>
        <v/>
      </c>
      <c r="K90" s="9">
        <f>IF(I90&gt;0,(I90-J90)/I90*100,0)</f>
        <v/>
      </c>
    </row>
    <row r="91">
      <c r="B91" s="5" t="inlineStr">
        <is>
          <t>Freakie Dog armado</t>
        </is>
      </c>
      <c r="C91" t="inlineStr">
        <is>
          <t>sub_receta</t>
        </is>
      </c>
      <c r="D91" t="n">
        <v>1</v>
      </c>
      <c r="E91" t="inlineStr">
        <is>
          <t>unidad</t>
        </is>
      </c>
      <c r="G91" s="6">
        <f>'Sub-Productos'!I67</f>
        <v/>
      </c>
      <c r="H91" s="6">
        <f>D91*G91</f>
        <v/>
      </c>
    </row>
    <row r="92">
      <c r="B92" s="5" t="inlineStr">
        <is>
          <t>Papa Sazonada</t>
        </is>
      </c>
      <c r="C92" t="inlineStr">
        <is>
          <t>sub_receta</t>
        </is>
      </c>
      <c r="D92" t="n">
        <v>1</v>
      </c>
      <c r="E92" t="inlineStr">
        <is>
          <t>porcion</t>
        </is>
      </c>
      <c r="G92" s="6">
        <f>'Sub-Productos'!I114</f>
        <v/>
      </c>
      <c r="H92" s="6">
        <f>D92*G92</f>
        <v/>
      </c>
    </row>
    <row r="93"/>
    <row r="94">
      <c r="A94" s="3" t="inlineStr">
        <is>
          <t>Combo Hamburguesa</t>
        </is>
      </c>
      <c r="B94" s="4" t="n"/>
      <c r="C94" s="4" t="n"/>
      <c r="D94" s="4" t="n"/>
      <c r="E94" s="4" t="n"/>
      <c r="F94" s="4" t="n"/>
      <c r="G94" s="4" t="n"/>
      <c r="H94" s="4" t="n"/>
      <c r="I94" s="4" t="n">
        <v>8.48</v>
      </c>
      <c r="J94" s="8">
        <f>SUM(H95:H102)</f>
        <v/>
      </c>
      <c r="K94" s="9">
        <f>IF(I94&gt;0,(I94-J94)/I94*100,0)</f>
        <v/>
      </c>
    </row>
    <row r="95">
      <c r="B95" s="5" t="inlineStr">
        <is>
          <t>Cebolla Roja</t>
        </is>
      </c>
      <c r="C95" t="inlineStr">
        <is>
          <t>ingrediente</t>
        </is>
      </c>
      <c r="D95" t="n">
        <v>0.02</v>
      </c>
      <c r="E95" t="inlineStr">
        <is>
          <t>saco</t>
        </is>
      </c>
      <c r="G95" s="6">
        <f>IFERROR(VLOOKUP(B95,'Materia Prima'!B:E,4,FALSE),0)</f>
        <v/>
      </c>
      <c r="H95" s="6">
        <f>D95*G95</f>
        <v/>
      </c>
    </row>
    <row r="96">
      <c r="B96" s="5" t="inlineStr">
        <is>
          <t>MQ LAC Procesado Reb AM C 1.4kg/3lb</t>
        </is>
      </c>
      <c r="C96" t="inlineStr">
        <is>
          <t>ingrediente</t>
        </is>
      </c>
      <c r="D96" t="n">
        <v>0.33</v>
      </c>
      <c r="E96" t="inlineStr">
        <is>
          <t>lb</t>
        </is>
      </c>
      <c r="G96" s="6">
        <f>IFERROR(VLOOKUP(B96,'Materia Prima'!B:E,4,FALSE),0)</f>
        <v/>
      </c>
      <c r="H96" s="6">
        <f>D96*G96</f>
        <v/>
      </c>
    </row>
    <row r="97">
      <c r="B97" s="5" t="inlineStr">
        <is>
          <t>16100 Pepinillos</t>
        </is>
      </c>
      <c r="C97" t="inlineStr">
        <is>
          <t>ingrediente</t>
        </is>
      </c>
      <c r="D97" t="n">
        <v>0.02</v>
      </c>
      <c r="E97" t="inlineStr">
        <is>
          <t>Unidad</t>
        </is>
      </c>
      <c r="G97" s="6">
        <f>IFERROR(VLOOKUP(B97,'Materia Prima'!B:E,4,FALSE),0)</f>
        <v/>
      </c>
      <c r="H97" s="6">
        <f>D97*G97</f>
        <v/>
      </c>
    </row>
    <row r="98">
      <c r="B98" s="5" t="inlineStr">
        <is>
          <t>Mezcla de Carne Smash</t>
        </is>
      </c>
      <c r="C98" t="inlineStr">
        <is>
          <t>sub_receta</t>
        </is>
      </c>
      <c r="D98" t="n">
        <v>2</v>
      </c>
      <c r="E98" t="inlineStr">
        <is>
          <t>unidad</t>
        </is>
      </c>
      <c r="G98" s="6">
        <f>'Sub-Productos'!I101</f>
        <v/>
      </c>
      <c r="H98" s="6">
        <f>D98*G98</f>
        <v/>
      </c>
    </row>
    <row r="99">
      <c r="B99" s="5" t="inlineStr">
        <is>
          <t>Pan de Hamburguesa Brioche bolsa 12 unidades</t>
        </is>
      </c>
      <c r="C99" t="inlineStr">
        <is>
          <t>ingrediente</t>
        </is>
      </c>
      <c r="D99" t="n">
        <v>1</v>
      </c>
      <c r="E99" t="inlineStr">
        <is>
          <t>bolsa</t>
        </is>
      </c>
      <c r="F99" t="n">
        <v>0.083333</v>
      </c>
      <c r="G99" s="6">
        <f>IFERROR(VLOOKUP(B99,'Materia Prima'!B:E,4,FALSE),0)</f>
        <v/>
      </c>
      <c r="H99" s="6">
        <f>D99*G99*F99</f>
        <v/>
      </c>
    </row>
    <row r="100">
      <c r="B100" s="5" t="inlineStr">
        <is>
          <t>Sal de Hamburguesa</t>
        </is>
      </c>
      <c r="C100" t="inlineStr">
        <is>
          <t>sub_receta</t>
        </is>
      </c>
      <c r="D100" t="n">
        <v>1</v>
      </c>
      <c r="E100" t="inlineStr">
        <is>
          <t>bolsa</t>
        </is>
      </c>
      <c r="G100" s="6">
        <f>'Sub-Productos'!I129</f>
        <v/>
      </c>
      <c r="H100" s="6">
        <f>D100*G100</f>
        <v/>
      </c>
    </row>
    <row r="101">
      <c r="B101" s="5" t="inlineStr">
        <is>
          <t>Gaseosa Coca-Cola Vr 354ml 1x24 un</t>
        </is>
      </c>
      <c r="C101" t="inlineStr">
        <is>
          <t>ingrediente</t>
        </is>
      </c>
      <c r="D101" t="n">
        <v>1</v>
      </c>
      <c r="E101" t="inlineStr">
        <is>
          <t>Caja</t>
        </is>
      </c>
      <c r="G101" s="6">
        <f>IFERROR(VLOOKUP(B101,'Materia Prima'!B:E,4,FALSE),0)</f>
        <v/>
      </c>
      <c r="H101" s="6">
        <f>D101*G101</f>
        <v/>
      </c>
    </row>
    <row r="102">
      <c r="B102" s="5" t="inlineStr">
        <is>
          <t>325026-MCX03621 MC REDSTONE</t>
        </is>
      </c>
      <c r="C102" t="inlineStr">
        <is>
          <t>ingrediente</t>
        </is>
      </c>
      <c r="D102" t="n">
        <v>0.024</v>
      </c>
      <c r="E102" t="inlineStr">
        <is>
          <t>Caja</t>
        </is>
      </c>
      <c r="G102" s="6">
        <f>IFERROR(VLOOKUP(B102,'Materia Prima'!B:E,4,FALSE),0)</f>
        <v/>
      </c>
      <c r="H102" s="6">
        <f>D102*G102</f>
        <v/>
      </c>
    </row>
    <row r="103"/>
    <row r="104">
      <c r="A104" s="3" t="inlineStr">
        <is>
          <t>Combo Hamburguesa</t>
        </is>
      </c>
      <c r="B104" s="4" t="n"/>
      <c r="C104" s="4" t="n"/>
      <c r="D104" s="4" t="n"/>
      <c r="E104" s="4" t="n"/>
      <c r="F104" s="4" t="n"/>
      <c r="G104" s="4" t="n"/>
      <c r="H104" s="4" t="n"/>
      <c r="I104" s="4" t="n">
        <v>0</v>
      </c>
      <c r="J104" s="8">
        <f>SUM(H105:H106)</f>
        <v/>
      </c>
      <c r="K104" s="9">
        <f>IF(I104&gt;0,(I104-J104)/I104*100,0)</f>
        <v/>
      </c>
    </row>
    <row r="105">
      <c r="B105" s="5" t="inlineStr">
        <is>
          <t>Hamburguesa Sencilla (armada)</t>
        </is>
      </c>
      <c r="C105" t="inlineStr">
        <is>
          <t>sub_receta</t>
        </is>
      </c>
      <c r="D105" t="n">
        <v>1</v>
      </c>
      <c r="E105" t="inlineStr">
        <is>
          <t>unidad</t>
        </is>
      </c>
      <c r="G105" s="6">
        <f>'Sub-Productos'!I78</f>
        <v/>
      </c>
      <c r="H105" s="6">
        <f>D105*G105</f>
        <v/>
      </c>
    </row>
    <row r="106">
      <c r="B106" s="5" t="inlineStr">
        <is>
          <t>Papa Sazonada</t>
        </is>
      </c>
      <c r="C106" t="inlineStr">
        <is>
          <t>sub_receta</t>
        </is>
      </c>
      <c r="D106" t="n">
        <v>1</v>
      </c>
      <c r="E106" t="inlineStr">
        <is>
          <t>porcion</t>
        </is>
      </c>
      <c r="G106" s="6">
        <f>'Sub-Productos'!I114</f>
        <v/>
      </c>
      <c r="H106" s="6">
        <f>D106*G106</f>
        <v/>
      </c>
    </row>
    <row r="107"/>
    <row r="108">
      <c r="A108" s="3" t="inlineStr">
        <is>
          <t>Combo Super Freak</t>
        </is>
      </c>
      <c r="B108" s="4" t="n"/>
      <c r="C108" s="4" t="n"/>
      <c r="D108" s="4" t="n"/>
      <c r="E108" s="4" t="n"/>
      <c r="F108" s="4" t="n"/>
      <c r="G108" s="4" t="n"/>
      <c r="H108" s="4" t="n"/>
      <c r="I108" s="4" t="n">
        <v>6.25</v>
      </c>
      <c r="J108" s="8">
        <f>SUM(H109:H114)</f>
        <v/>
      </c>
      <c r="K108" s="9">
        <f>IF(I108&gt;0,(I108-J108)/I108*100,0)</f>
        <v/>
      </c>
    </row>
    <row r="109">
      <c r="B109" s="5" t="inlineStr">
        <is>
          <t>Sal de Hamburguesa</t>
        </is>
      </c>
      <c r="C109" t="inlineStr">
        <is>
          <t>sub_receta</t>
        </is>
      </c>
      <c r="D109" t="n">
        <v>1</v>
      </c>
      <c r="E109" t="inlineStr">
        <is>
          <t>bolsa</t>
        </is>
      </c>
      <c r="G109" s="6">
        <f>'Sub-Productos'!I129</f>
        <v/>
      </c>
      <c r="H109" s="6">
        <f>D109*G109</f>
        <v/>
      </c>
    </row>
    <row r="110">
      <c r="B110" s="5" t="inlineStr">
        <is>
          <t>Mezcla de Carne Smash</t>
        </is>
      </c>
      <c r="C110" t="inlineStr">
        <is>
          <t>sub_receta</t>
        </is>
      </c>
      <c r="D110" t="n">
        <v>3</v>
      </c>
      <c r="E110" t="inlineStr">
        <is>
          <t>unidad</t>
        </is>
      </c>
      <c r="G110" s="6">
        <f>'Sub-Productos'!I101</f>
        <v/>
      </c>
      <c r="H110" s="6">
        <f>D110*G110</f>
        <v/>
      </c>
    </row>
    <row r="111">
      <c r="B111" s="5" t="inlineStr">
        <is>
          <t>MQ LAC Procesado Reb AM C 1.4kg/3lb</t>
        </is>
      </c>
      <c r="C111" t="inlineStr">
        <is>
          <t>ingrediente</t>
        </is>
      </c>
      <c r="D111" t="n">
        <v>0.5</v>
      </c>
      <c r="E111" t="inlineStr">
        <is>
          <t>lb</t>
        </is>
      </c>
      <c r="G111" s="6">
        <f>IFERROR(VLOOKUP(B111,'Materia Prima'!B:E,4,FALSE),0)</f>
        <v/>
      </c>
      <c r="H111" s="6">
        <f>D111*G111</f>
        <v/>
      </c>
    </row>
    <row r="112">
      <c r="B112" s="5" t="inlineStr">
        <is>
          <t>325026-MCX03621 MC REDSTONE</t>
        </is>
      </c>
      <c r="C112" t="inlineStr">
        <is>
          <t>ingrediente</t>
        </is>
      </c>
      <c r="D112" t="n">
        <v>0.024</v>
      </c>
      <c r="E112" t="inlineStr">
        <is>
          <t>Caja</t>
        </is>
      </c>
      <c r="G112" s="6">
        <f>IFERROR(VLOOKUP(B112,'Materia Prima'!B:E,4,FALSE),0)</f>
        <v/>
      </c>
      <c r="H112" s="6">
        <f>D112*G112</f>
        <v/>
      </c>
    </row>
    <row r="113">
      <c r="B113" s="5" t="inlineStr">
        <is>
          <t>Gaseosa Coca-Cola Vr 354ml 1x24 un</t>
        </is>
      </c>
      <c r="C113" t="inlineStr">
        <is>
          <t>ingrediente</t>
        </is>
      </c>
      <c r="D113" t="n">
        <v>1</v>
      </c>
      <c r="E113" t="inlineStr">
        <is>
          <t>Caja</t>
        </is>
      </c>
      <c r="G113" s="6">
        <f>IFERROR(VLOOKUP(B113,'Materia Prima'!B:E,4,FALSE),0)</f>
        <v/>
      </c>
      <c r="H113" s="6">
        <f>D113*G113</f>
        <v/>
      </c>
    </row>
    <row r="114">
      <c r="B114" s="5" t="inlineStr">
        <is>
          <t>Pan de Hot Dog Brioche bolsa 12 unidades</t>
        </is>
      </c>
      <c r="C114" t="inlineStr">
        <is>
          <t>ingrediente</t>
        </is>
      </c>
      <c r="D114" t="n">
        <v>1</v>
      </c>
      <c r="E114" t="inlineStr">
        <is>
          <t>bolsa</t>
        </is>
      </c>
      <c r="F114" t="n">
        <v>0.083333</v>
      </c>
      <c r="G114" s="6">
        <f>IFERROR(VLOOKUP(B114,'Materia Prima'!B:E,4,FALSE),0)</f>
        <v/>
      </c>
      <c r="H114" s="6">
        <f>D114*G114*F114</f>
        <v/>
      </c>
    </row>
    <row r="115"/>
    <row r="116">
      <c r="A116" s="3" t="inlineStr">
        <is>
          <t>Combo Super Freak</t>
        </is>
      </c>
      <c r="B116" s="4" t="n"/>
      <c r="C116" s="4" t="n"/>
      <c r="D116" s="4" t="n"/>
      <c r="E116" s="4" t="n"/>
      <c r="F116" s="4" t="n"/>
      <c r="G116" s="4" t="n"/>
      <c r="H116" s="4" t="n"/>
      <c r="I116" s="4" t="n">
        <v>0</v>
      </c>
      <c r="J116" s="8">
        <f>SUM(H117:H118)</f>
        <v/>
      </c>
      <c r="K116" s="9">
        <f>IF(I116&gt;0,(I116-J116)/I116*100,0)</f>
        <v/>
      </c>
    </row>
    <row r="117">
      <c r="B117" s="5" t="inlineStr">
        <is>
          <t>Super Freak armado</t>
        </is>
      </c>
      <c r="C117" t="inlineStr">
        <is>
          <t>sub_receta</t>
        </is>
      </c>
      <c r="D117" t="n">
        <v>1</v>
      </c>
      <c r="E117" t="inlineStr">
        <is>
          <t>unidad</t>
        </is>
      </c>
      <c r="G117" s="6">
        <f>'Sub-Productos'!I163</f>
        <v/>
      </c>
      <c r="H117" s="6">
        <f>D117*G117</f>
        <v/>
      </c>
    </row>
    <row r="118">
      <c r="B118" s="5" t="inlineStr">
        <is>
          <t>Papa Sazonada</t>
        </is>
      </c>
      <c r="C118" t="inlineStr">
        <is>
          <t>sub_receta</t>
        </is>
      </c>
      <c r="D118" t="n">
        <v>1</v>
      </c>
      <c r="E118" t="inlineStr">
        <is>
          <t>porcion</t>
        </is>
      </c>
      <c r="G118" s="6">
        <f>'Sub-Productos'!I114</f>
        <v/>
      </c>
      <c r="H118" s="6">
        <f>D118*G118</f>
        <v/>
      </c>
    </row>
    <row r="119"/>
    <row r="120">
      <c r="A120" s="3" t="inlineStr">
        <is>
          <t>Combo Trio</t>
        </is>
      </c>
      <c r="B120" s="4" t="n"/>
      <c r="C120" s="4" t="n"/>
      <c r="D120" s="4" t="n"/>
      <c r="E120" s="4" t="n"/>
      <c r="F120" s="4" t="n"/>
      <c r="G120" s="4" t="n"/>
      <c r="H120" s="4" t="n"/>
      <c r="I120" s="4" t="n">
        <v>0</v>
      </c>
      <c r="J120" s="8">
        <f>SUM(H121:H122)</f>
        <v/>
      </c>
      <c r="K120" s="9">
        <f>IF(I120&gt;0,(I120-J120)/I120*100,0)</f>
        <v/>
      </c>
    </row>
    <row r="121">
      <c r="B121" s="5" t="inlineStr">
        <is>
          <t>Freakie Dog armado</t>
        </is>
      </c>
      <c r="C121" t="inlineStr">
        <is>
          <t>sub_receta</t>
        </is>
      </c>
      <c r="D121" t="n">
        <v>3</v>
      </c>
      <c r="E121" t="inlineStr">
        <is>
          <t>unidad</t>
        </is>
      </c>
      <c r="G121" s="6">
        <f>'Sub-Productos'!I67</f>
        <v/>
      </c>
      <c r="H121" s="6">
        <f>D121*G121</f>
        <v/>
      </c>
    </row>
    <row r="122">
      <c r="B122" s="5" t="inlineStr">
        <is>
          <t>Papa Sazonada</t>
        </is>
      </c>
      <c r="C122" t="inlineStr">
        <is>
          <t>sub_receta</t>
        </is>
      </c>
      <c r="D122" t="n">
        <v>3</v>
      </c>
      <c r="E122" t="inlineStr">
        <is>
          <t>porcion</t>
        </is>
      </c>
      <c r="G122" s="6">
        <f>'Sub-Productos'!I114</f>
        <v/>
      </c>
      <c r="H122" s="6">
        <f>D122*G122</f>
        <v/>
      </c>
    </row>
    <row r="123"/>
    <row r="124">
      <c r="A124" s="3" t="inlineStr">
        <is>
          <t>Combpleto</t>
        </is>
      </c>
      <c r="B124" s="4" t="n"/>
      <c r="C124" s="4" t="n"/>
      <c r="D124" s="4" t="n"/>
      <c r="E124" s="4" t="n"/>
      <c r="F124" s="4" t="n"/>
      <c r="G124" s="4" t="n"/>
      <c r="H124" s="4" t="n"/>
      <c r="I124" s="4" t="n">
        <v>0</v>
      </c>
      <c r="J124" s="8">
        <f>SUM(H125:H131)</f>
        <v/>
      </c>
      <c r="K124" s="9">
        <f>IF(I124&gt;0,(I124-J124)/I124*100,0)</f>
        <v/>
      </c>
    </row>
    <row r="125">
      <c r="B125" s="5" t="inlineStr">
        <is>
          <t>Hamburguesa Sencilla (armada)</t>
        </is>
      </c>
      <c r="C125" t="inlineStr">
        <is>
          <t>sub_receta</t>
        </is>
      </c>
      <c r="D125" t="n">
        <v>2</v>
      </c>
      <c r="E125" t="inlineStr">
        <is>
          <t>unidad</t>
        </is>
      </c>
      <c r="G125" s="6">
        <f>'Sub-Productos'!I78</f>
        <v/>
      </c>
      <c r="H125" s="6">
        <f>D125*G125</f>
        <v/>
      </c>
    </row>
    <row r="126">
      <c r="B126" s="5" t="inlineStr">
        <is>
          <t>Freakie Dog armado</t>
        </is>
      </c>
      <c r="C126" t="inlineStr">
        <is>
          <t>sub_receta</t>
        </is>
      </c>
      <c r="D126" t="n">
        <v>2</v>
      </c>
      <c r="E126" t="inlineStr">
        <is>
          <t>unidad</t>
        </is>
      </c>
      <c r="G126" s="6">
        <f>'Sub-Productos'!I67</f>
        <v/>
      </c>
      <c r="H126" s="6">
        <f>D126*G126</f>
        <v/>
      </c>
    </row>
    <row r="127">
      <c r="B127" s="5" t="inlineStr">
        <is>
          <t>Papa Sazonada</t>
        </is>
      </c>
      <c r="C127" t="inlineStr">
        <is>
          <t>sub_receta</t>
        </is>
      </c>
      <c r="D127" t="n">
        <v>2</v>
      </c>
      <c r="E127" t="inlineStr">
        <is>
          <t>porcion</t>
        </is>
      </c>
      <c r="G127" s="6">
        <f>'Sub-Productos'!I114</f>
        <v/>
      </c>
      <c r="H127" s="6">
        <f>D127*G127</f>
        <v/>
      </c>
    </row>
    <row r="128">
      <c r="B128" s="5" t="inlineStr">
        <is>
          <t>Queso para dorar</t>
        </is>
      </c>
      <c r="C128" t="inlineStr">
        <is>
          <t>ingrediente</t>
        </is>
      </c>
      <c r="D128" t="n">
        <v>0.3</v>
      </c>
      <c r="E128" t="inlineStr">
        <is>
          <t>lb</t>
        </is>
      </c>
      <c r="G128" s="6">
        <f>IFERROR(VLOOKUP(B128,'Materia Prima'!B:E,4,FALSE),0)</f>
        <v/>
      </c>
      <c r="H128" s="6">
        <f>D128*G128</f>
        <v/>
      </c>
    </row>
    <row r="129">
      <c r="B129" s="5" t="inlineStr">
        <is>
          <t>Mezcla 3 quesos de costra bolsa 2.27 kgs</t>
        </is>
      </c>
      <c r="C129" t="inlineStr">
        <is>
          <t>ingrediente</t>
        </is>
      </c>
      <c r="D129" t="n">
        <v>0.08500000000000001</v>
      </c>
      <c r="E129" t="inlineStr">
        <is>
          <t>kg</t>
        </is>
      </c>
      <c r="G129" s="6">
        <f>IFERROR(VLOOKUP(B129,'Materia Prima'!B:E,4,FALSE),0)</f>
        <v/>
      </c>
      <c r="H129" s="6">
        <f>D129*G129</f>
        <v/>
      </c>
    </row>
    <row r="130">
      <c r="B130" s="5" t="inlineStr">
        <is>
          <t>Postre Cheesecake Ailyn</t>
        </is>
      </c>
      <c r="C130" t="inlineStr">
        <is>
          <t>ingrediente</t>
        </is>
      </c>
      <c r="D130" t="n">
        <v>0.1</v>
      </c>
      <c r="E130" t="inlineStr">
        <is>
          <t>pastel</t>
        </is>
      </c>
      <c r="G130" s="6">
        <f>IFERROR(VLOOKUP(B130,'Materia Prima'!B:E,4,FALSE),0)</f>
        <v/>
      </c>
      <c r="H130" s="6">
        <f>D130*G130</f>
        <v/>
      </c>
    </row>
    <row r="131">
      <c r="B131" s="5" t="inlineStr">
        <is>
          <t>Cheddar Porcionado (Bolsa 2lb)</t>
        </is>
      </c>
      <c r="C131" t="inlineStr">
        <is>
          <t>sub_receta</t>
        </is>
      </c>
      <c r="D131" t="n">
        <v>8</v>
      </c>
      <c r="E131" t="inlineStr">
        <is>
          <t>bolsa</t>
        </is>
      </c>
      <c r="F131" t="n">
        <v>0.03125</v>
      </c>
      <c r="G131" s="6">
        <f>'Sub-Productos'!I15</f>
        <v/>
      </c>
      <c r="H131" s="6">
        <f>D131*G131*F131</f>
        <v/>
      </c>
    </row>
    <row r="132"/>
    <row r="133">
      <c r="A133" s="3" t="inlineStr">
        <is>
          <t>Combros</t>
        </is>
      </c>
      <c r="B133" s="4" t="n"/>
      <c r="C133" s="4" t="n"/>
      <c r="D133" s="4" t="n"/>
      <c r="E133" s="4" t="n"/>
      <c r="F133" s="4" t="n"/>
      <c r="G133" s="4" t="n"/>
      <c r="H133" s="4" t="n"/>
      <c r="I133" s="4" t="n">
        <v>0</v>
      </c>
      <c r="J133" s="8">
        <f>SUM(H134:H142)</f>
        <v/>
      </c>
      <c r="K133" s="9">
        <f>IF(I133&gt;0,(I133-J133)/I133*100,0)</f>
        <v/>
      </c>
    </row>
    <row r="134">
      <c r="B134" s="5" t="inlineStr">
        <is>
          <t>Cheddar Porcionado (Bolsa 2lb)</t>
        </is>
      </c>
      <c r="C134" t="inlineStr">
        <is>
          <t>sub_receta</t>
        </is>
      </c>
      <c r="D134" t="n">
        <v>1</v>
      </c>
      <c r="E134" t="inlineStr">
        <is>
          <t>bolsa</t>
        </is>
      </c>
      <c r="F134" t="n">
        <v>0.03125</v>
      </c>
      <c r="G134" s="6">
        <f>'Sub-Productos'!I15</f>
        <v/>
      </c>
      <c r="H134" s="6">
        <f>D134*G134*F134</f>
        <v/>
      </c>
    </row>
    <row r="135">
      <c r="B135" s="5" t="inlineStr">
        <is>
          <t>Ranch 1 Galon</t>
        </is>
      </c>
      <c r="C135" t="inlineStr">
        <is>
          <t>ingrediente</t>
        </is>
      </c>
      <c r="D135" t="n">
        <v>2</v>
      </c>
      <c r="E135" t="inlineStr">
        <is>
          <t>oz</t>
        </is>
      </c>
      <c r="G135" s="6">
        <f>IFERROR(VLOOKUP(B135,'Materia Prima'!B:E,4,FALSE),0)</f>
        <v/>
      </c>
      <c r="H135" s="6">
        <f>D135*G135</f>
        <v/>
      </c>
    </row>
    <row r="136">
      <c r="B136" s="5" t="inlineStr">
        <is>
          <t>Salsa Ketchup GL. 4X3.5 KG MC Cormick</t>
        </is>
      </c>
      <c r="C136" t="inlineStr">
        <is>
          <t>ingrediente</t>
        </is>
      </c>
      <c r="D136" t="n">
        <v>1</v>
      </c>
      <c r="E136" t="inlineStr">
        <is>
          <t>oz</t>
        </is>
      </c>
      <c r="G136" s="6">
        <f>IFERROR(VLOOKUP(B136,'Materia Prima'!B:E,4,FALSE),0)</f>
        <v/>
      </c>
      <c r="H136" s="6">
        <f>D136*G136</f>
        <v/>
      </c>
    </row>
    <row r="137">
      <c r="B137" s="5" t="inlineStr">
        <is>
          <t>Mayonesa Hellmans Real</t>
        </is>
      </c>
      <c r="C137" t="inlineStr">
        <is>
          <t>ingrediente</t>
        </is>
      </c>
      <c r="D137" t="n">
        <v>1</v>
      </c>
      <c r="E137" t="inlineStr">
        <is>
          <t>oz</t>
        </is>
      </c>
      <c r="G137" s="6">
        <f>IFERROR(VLOOKUP(B137,'Materia Prima'!B:E,4,FALSE),0)</f>
        <v/>
      </c>
      <c r="H137" s="6">
        <f>D137*G137</f>
        <v/>
      </c>
    </row>
    <row r="138">
      <c r="B138" s="5" t="inlineStr">
        <is>
          <t>Salsa Chipotle</t>
        </is>
      </c>
      <c r="C138" t="inlineStr">
        <is>
          <t>sub_receta</t>
        </is>
      </c>
      <c r="D138" t="n">
        <v>0.03125</v>
      </c>
      <c r="E138" t="inlineStr">
        <is>
          <t>bolsa</t>
        </is>
      </c>
      <c r="G138" s="6">
        <f>'Sub-Productos'!I134</f>
        <v/>
      </c>
      <c r="H138" s="6">
        <f>D138*G138</f>
        <v/>
      </c>
    </row>
    <row r="139">
      <c r="B139" s="5" t="inlineStr">
        <is>
          <t>Freakie Dog armado</t>
        </is>
      </c>
      <c r="C139" t="inlineStr">
        <is>
          <t>sub_receta</t>
        </is>
      </c>
      <c r="D139" t="n">
        <v>4</v>
      </c>
      <c r="E139" t="inlineStr">
        <is>
          <t>unidad</t>
        </is>
      </c>
      <c r="G139" s="6">
        <f>'Sub-Productos'!I67</f>
        <v/>
      </c>
      <c r="H139" s="6">
        <f>D139*G139</f>
        <v/>
      </c>
    </row>
    <row r="140">
      <c r="B140" s="5" t="inlineStr">
        <is>
          <t>Papa Sazonada</t>
        </is>
      </c>
      <c r="C140" t="inlineStr">
        <is>
          <t>sub_receta</t>
        </is>
      </c>
      <c r="D140" t="n">
        <v>1</v>
      </c>
      <c r="E140" t="inlineStr">
        <is>
          <t>porcion</t>
        </is>
      </c>
      <c r="G140" s="6">
        <f>'Sub-Productos'!I114</f>
        <v/>
      </c>
      <c r="H140" s="6">
        <f>D140*G140</f>
        <v/>
      </c>
    </row>
    <row r="141">
      <c r="B141" s="5" t="inlineStr">
        <is>
          <t>Papa Blanca 20lb</t>
        </is>
      </c>
      <c r="C141" t="inlineStr">
        <is>
          <t>ingrediente</t>
        </is>
      </c>
      <c r="D141" t="n">
        <v>0.35</v>
      </c>
      <c r="E141" t="inlineStr">
        <is>
          <t>lb</t>
        </is>
      </c>
      <c r="G141" s="6">
        <f>IFERROR(VLOOKUP(B141,'Materia Prima'!B:E,4,FALSE),0)</f>
        <v/>
      </c>
      <c r="H141" s="6">
        <f>D141*G141</f>
        <v/>
      </c>
    </row>
    <row r="142">
      <c r="B142" s="5" t="inlineStr">
        <is>
          <t>Aros de Cebolla</t>
        </is>
      </c>
      <c r="C142" t="inlineStr">
        <is>
          <t>sub_receta</t>
        </is>
      </c>
      <c r="D142" t="n">
        <v>1</v>
      </c>
      <c r="E142" t="inlineStr">
        <is>
          <t>porcion</t>
        </is>
      </c>
      <c r="G142" t="n">
        <v>0.2016</v>
      </c>
      <c r="H142" s="6">
        <f>D142*G142</f>
        <v/>
      </c>
    </row>
    <row r="143"/>
    <row r="144">
      <c r="A144" s="3" t="inlineStr">
        <is>
          <t>Costra de Queso</t>
        </is>
      </c>
      <c r="B144" s="4" t="n"/>
      <c r="C144" s="4" t="n"/>
      <c r="D144" s="4" t="n"/>
      <c r="E144" s="4" t="n"/>
      <c r="F144" s="4" t="n"/>
      <c r="G144" s="4" t="n"/>
      <c r="H144" s="4" t="n"/>
      <c r="I144" s="4" t="n">
        <v>0</v>
      </c>
      <c r="J144" s="8">
        <f>SUM(H145:H145)</f>
        <v/>
      </c>
      <c r="K144" s="9">
        <f>IF(I144&gt;0,(I144-J144)/I144*100,0)</f>
        <v/>
      </c>
    </row>
    <row r="145">
      <c r="B145" s="5" t="inlineStr">
        <is>
          <t>Mezcla 3 quesos de costra bolsa 2.27 kgs</t>
        </is>
      </c>
      <c r="C145" t="inlineStr">
        <is>
          <t>ingrediente</t>
        </is>
      </c>
      <c r="D145" t="n">
        <v>0.08500000000000001</v>
      </c>
      <c r="E145" t="inlineStr">
        <is>
          <t>kg</t>
        </is>
      </c>
      <c r="G145" s="6">
        <f>IFERROR(VLOOKUP(B145,'Materia Prima'!B:E,4,FALSE),0)</f>
        <v/>
      </c>
      <c r="H145" s="6">
        <f>D145*G145</f>
        <v/>
      </c>
    </row>
    <row r="146"/>
    <row r="147">
      <c r="A147" s="3" t="inlineStr">
        <is>
          <t>Dip de Queso</t>
        </is>
      </c>
      <c r="B147" s="4" t="n"/>
      <c r="C147" s="4" t="n"/>
      <c r="D147" s="4" t="n"/>
      <c r="E147" s="4" t="n"/>
      <c r="F147" s="4" t="n"/>
      <c r="G147" s="4" t="n"/>
      <c r="H147" s="4" t="n"/>
      <c r="I147" s="4" t="n">
        <v>2.99</v>
      </c>
      <c r="J147" s="8" t="n">
        <v>0</v>
      </c>
      <c r="K147" s="9">
        <f>IF(I147&gt;0,(I147-J147)/I147*100,0)</f>
        <v/>
      </c>
    </row>
    <row r="148"/>
    <row r="149">
      <c r="A149" s="3" t="inlineStr">
        <is>
          <t>Duo Picossini</t>
        </is>
      </c>
      <c r="B149" s="4" t="n"/>
      <c r="C149" s="4" t="n"/>
      <c r="D149" s="4" t="n"/>
      <c r="E149" s="4" t="n"/>
      <c r="F149" s="4" t="n"/>
      <c r="G149" s="4" t="n"/>
      <c r="H149" s="4" t="n"/>
      <c r="I149" s="4" t="n">
        <v>0</v>
      </c>
      <c r="J149" s="8">
        <f>SUM(H150:H153)</f>
        <v/>
      </c>
      <c r="K149" s="9">
        <f>IF(I149&gt;0,(I149-J149)/I149*100,0)</f>
        <v/>
      </c>
    </row>
    <row r="150">
      <c r="B150" s="5" t="inlineStr">
        <is>
          <t>Hamburguesa Sencilla (armada)</t>
        </is>
      </c>
      <c r="C150" t="inlineStr">
        <is>
          <t>sub_receta</t>
        </is>
      </c>
      <c r="D150" t="n">
        <v>2</v>
      </c>
      <c r="E150" t="inlineStr">
        <is>
          <t>unidad</t>
        </is>
      </c>
      <c r="G150" s="6">
        <f>'Sub-Productos'!I78</f>
        <v/>
      </c>
      <c r="H150" s="6">
        <f>D150*G150</f>
        <v/>
      </c>
    </row>
    <row r="151">
      <c r="B151" s="5" t="inlineStr">
        <is>
          <t>Papa Sazonada</t>
        </is>
      </c>
      <c r="C151" t="inlineStr">
        <is>
          <t>sub_receta</t>
        </is>
      </c>
      <c r="D151" t="n">
        <v>2</v>
      </c>
      <c r="E151" t="inlineStr">
        <is>
          <t>porcion</t>
        </is>
      </c>
      <c r="G151" s="6">
        <f>'Sub-Productos'!I114</f>
        <v/>
      </c>
      <c r="H151" s="6">
        <f>D151*G151</f>
        <v/>
      </c>
    </row>
    <row r="152">
      <c r="B152" s="5" t="inlineStr">
        <is>
          <t>Queso para dorar</t>
        </is>
      </c>
      <c r="C152" t="inlineStr">
        <is>
          <t>ingrediente</t>
        </is>
      </c>
      <c r="D152" t="n">
        <v>0.3</v>
      </c>
      <c r="E152" t="inlineStr">
        <is>
          <t>lb</t>
        </is>
      </c>
      <c r="G152" s="6">
        <f>IFERROR(VLOOKUP(B152,'Materia Prima'!B:E,4,FALSE),0)</f>
        <v/>
      </c>
      <c r="H152" s="6">
        <f>D152*G152</f>
        <v/>
      </c>
    </row>
    <row r="153">
      <c r="B153" s="5" t="inlineStr">
        <is>
          <t>Pepperonchini En Vinagre Monteverde BI. PI. H2.2KG</t>
        </is>
      </c>
      <c r="C153" t="inlineStr">
        <is>
          <t>ingrediente</t>
        </is>
      </c>
      <c r="D153" t="n">
        <v>4</v>
      </c>
      <c r="E153" t="inlineStr">
        <is>
          <t>unidad</t>
        </is>
      </c>
      <c r="G153" s="6">
        <f>IFERROR(VLOOKUP(B153,'Materia Prima'!B:E,4,FALSE),0)</f>
        <v/>
      </c>
      <c r="H153" s="6">
        <f>D153*G153</f>
        <v/>
      </c>
    </row>
    <row r="154"/>
    <row r="155">
      <c r="A155" s="3" t="inlineStr">
        <is>
          <t>Fancy Fries Combo</t>
        </is>
      </c>
      <c r="B155" s="4" t="n"/>
      <c r="C155" s="4" t="n"/>
      <c r="D155" s="4" t="n"/>
      <c r="E155" s="4" t="n"/>
      <c r="F155" s="4" t="n"/>
      <c r="G155" s="4" t="n"/>
      <c r="H155" s="4" t="n"/>
      <c r="I155" s="4" t="n">
        <v>18.99</v>
      </c>
      <c r="J155" s="8" t="n">
        <v>0</v>
      </c>
      <c r="K155" s="9">
        <f>IF(I155&gt;0,(I155-J155)/I155*100,0)</f>
        <v/>
      </c>
    </row>
    <row r="156"/>
    <row r="157">
      <c r="A157" s="3" t="inlineStr">
        <is>
          <t>Fancy Fries Combo</t>
        </is>
      </c>
      <c r="B157" s="4" t="n"/>
      <c r="C157" s="4" t="n"/>
      <c r="D157" s="4" t="n"/>
      <c r="E157" s="4" t="n"/>
      <c r="F157" s="4" t="n"/>
      <c r="G157" s="4" t="n"/>
      <c r="H157" s="4" t="n"/>
      <c r="I157" s="4" t="n">
        <v>0</v>
      </c>
      <c r="J157" s="8">
        <f>SUM(H158:H159)</f>
        <v/>
      </c>
      <c r="K157" s="9">
        <f>IF(I157&gt;0,(I157-J157)/I157*100,0)</f>
        <v/>
      </c>
    </row>
    <row r="158">
      <c r="B158" s="5" t="inlineStr">
        <is>
          <t>Freakie Dog armado</t>
        </is>
      </c>
      <c r="C158" t="inlineStr">
        <is>
          <t>sub_receta</t>
        </is>
      </c>
      <c r="D158" t="n">
        <v>4</v>
      </c>
      <c r="E158" t="inlineStr">
        <is>
          <t>unidad</t>
        </is>
      </c>
      <c r="G158" s="6">
        <f>'Sub-Productos'!I67</f>
        <v/>
      </c>
      <c r="H158" s="6">
        <f>D158*G158</f>
        <v/>
      </c>
    </row>
    <row r="159">
      <c r="B159" s="5" t="inlineStr">
        <is>
          <t>Papa Sazonada</t>
        </is>
      </c>
      <c r="C159" t="inlineStr">
        <is>
          <t>sub_receta</t>
        </is>
      </c>
      <c r="D159" t="n">
        <v>4</v>
      </c>
      <c r="E159" t="inlineStr">
        <is>
          <t>porcion</t>
        </is>
      </c>
      <c r="G159" s="6">
        <f>'Sub-Productos'!I114</f>
        <v/>
      </c>
      <c r="H159" s="6">
        <f>D159*G159</f>
        <v/>
      </c>
    </row>
    <row r="160"/>
    <row r="161">
      <c r="A161" s="3" t="inlineStr">
        <is>
          <t>Fancys</t>
        </is>
      </c>
      <c r="B161" s="4" t="n"/>
      <c r="C161" s="4" t="n"/>
      <c r="D161" s="4" t="n"/>
      <c r="E161" s="4" t="n"/>
      <c r="F161" s="4" t="n"/>
      <c r="G161" s="4" t="n"/>
      <c r="H161" s="4" t="n"/>
      <c r="I161" s="4" t="n">
        <v>8.99</v>
      </c>
      <c r="J161" s="8" t="n">
        <v>0</v>
      </c>
      <c r="K161" s="9">
        <f>IF(I161&gt;0,(I161-J161)/I161*100,0)</f>
        <v/>
      </c>
    </row>
    <row r="162"/>
    <row r="163">
      <c r="A163" s="3" t="inlineStr">
        <is>
          <t>Fancys XL</t>
        </is>
      </c>
      <c r="B163" s="4" t="n"/>
      <c r="C163" s="4" t="n"/>
      <c r="D163" s="4" t="n"/>
      <c r="E163" s="4" t="n"/>
      <c r="F163" s="4" t="n"/>
      <c r="G163" s="4" t="n"/>
      <c r="H163" s="4" t="n"/>
      <c r="I163" s="4" t="n">
        <v>0</v>
      </c>
      <c r="J163" s="8">
        <f>SUM(H164:H167)</f>
        <v/>
      </c>
      <c r="K163" s="9">
        <f>IF(I163&gt;0,(I163-J163)/I163*100,0)</f>
        <v/>
      </c>
    </row>
    <row r="164">
      <c r="B164" s="5" t="inlineStr">
        <is>
          <t>Papa Sazonada</t>
        </is>
      </c>
      <c r="C164" t="inlineStr">
        <is>
          <t>sub_receta</t>
        </is>
      </c>
      <c r="D164" t="n">
        <v>2</v>
      </c>
      <c r="E164" t="inlineStr">
        <is>
          <t>porcion</t>
        </is>
      </c>
      <c r="G164" s="6">
        <f>'Sub-Productos'!I114</f>
        <v/>
      </c>
      <c r="H164" s="6">
        <f>D164*G164</f>
        <v/>
      </c>
    </row>
    <row r="165">
      <c r="B165" s="5" t="inlineStr">
        <is>
          <t>Papa Blanca 20lb</t>
        </is>
      </c>
      <c r="C165" t="inlineStr">
        <is>
          <t>ingrediente</t>
        </is>
      </c>
      <c r="D165" t="n">
        <v>0.35</v>
      </c>
      <c r="E165" t="inlineStr">
        <is>
          <t>lb</t>
        </is>
      </c>
      <c r="G165" s="6">
        <f>IFERROR(VLOOKUP(B165,'Materia Prima'!B:E,4,FALSE),0)</f>
        <v/>
      </c>
      <c r="H165" s="6">
        <f>D165*G165</f>
        <v/>
      </c>
    </row>
    <row r="166">
      <c r="B166" s="5" t="inlineStr">
        <is>
          <t>PAPA WAFFLE NAT CAJA 6/4.5 LBS</t>
        </is>
      </c>
      <c r="C166" t="inlineStr">
        <is>
          <t>ingrediente</t>
        </is>
      </c>
      <c r="D166" t="n">
        <v>0.35</v>
      </c>
      <c r="E166" t="inlineStr">
        <is>
          <t>libra</t>
        </is>
      </c>
      <c r="G166" s="6">
        <f>IFERROR(VLOOKUP(B166,'Materia Prima'!B:E,4,FALSE),0)</f>
        <v/>
      </c>
      <c r="H166" s="6">
        <f>D166*G166</f>
        <v/>
      </c>
    </row>
    <row r="167">
      <c r="B167" s="5" t="inlineStr">
        <is>
          <t>Cheddar Porcionado (Bolsa 2lb)</t>
        </is>
      </c>
      <c r="C167" t="inlineStr">
        <is>
          <t>sub_receta</t>
        </is>
      </c>
      <c r="D167" t="n">
        <v>3</v>
      </c>
      <c r="E167" t="inlineStr">
        <is>
          <t>bolsa</t>
        </is>
      </c>
      <c r="F167" t="n">
        <v>0.03125</v>
      </c>
      <c r="G167" s="6">
        <f>'Sub-Productos'!I15</f>
        <v/>
      </c>
      <c r="H167" s="6">
        <f>D167*G167*F167</f>
        <v/>
      </c>
    </row>
    <row r="168"/>
    <row r="169">
      <c r="A169" s="3" t="inlineStr">
        <is>
          <t>Freakie Box</t>
        </is>
      </c>
      <c r="B169" s="4" t="n"/>
      <c r="C169" s="4" t="n"/>
      <c r="D169" s="4" t="n"/>
      <c r="E169" s="4" t="n"/>
      <c r="F169" s="4" t="n"/>
      <c r="G169" s="4" t="n"/>
      <c r="H169" s="4" t="n"/>
      <c r="I169" s="4" t="n">
        <v>0</v>
      </c>
      <c r="J169" s="8">
        <f>SUM(H170:H179)</f>
        <v/>
      </c>
      <c r="K169" s="9">
        <f>IF(I169&gt;0,(I169-J169)/I169*100,0)</f>
        <v/>
      </c>
    </row>
    <row r="170">
      <c r="B170" s="5" t="inlineStr">
        <is>
          <t>Freakie Dog armado</t>
        </is>
      </c>
      <c r="C170" t="inlineStr">
        <is>
          <t>sub_receta</t>
        </is>
      </c>
      <c r="D170" t="n">
        <v>3</v>
      </c>
      <c r="E170" t="inlineStr">
        <is>
          <t>unidad</t>
        </is>
      </c>
      <c r="G170" s="6">
        <f>'Sub-Productos'!I67</f>
        <v/>
      </c>
      <c r="H170" s="6">
        <f>D170*G170</f>
        <v/>
      </c>
    </row>
    <row r="171">
      <c r="B171" s="5" t="inlineStr">
        <is>
          <t>Papa Sazonada</t>
        </is>
      </c>
      <c r="C171" t="inlineStr">
        <is>
          <t>sub_receta</t>
        </is>
      </c>
      <c r="D171" t="n">
        <v>1</v>
      </c>
      <c r="E171" t="inlineStr">
        <is>
          <t>porcion</t>
        </is>
      </c>
      <c r="G171" s="6">
        <f>'Sub-Productos'!I114</f>
        <v/>
      </c>
      <c r="H171" s="6">
        <f>D171*G171</f>
        <v/>
      </c>
    </row>
    <row r="172">
      <c r="B172" s="5" t="inlineStr">
        <is>
          <t>Papa Blanca 20lb</t>
        </is>
      </c>
      <c r="C172" t="inlineStr">
        <is>
          <t>ingrediente</t>
        </is>
      </c>
      <c r="D172" t="n">
        <v>0.35</v>
      </c>
      <c r="E172" t="inlineStr">
        <is>
          <t>lb</t>
        </is>
      </c>
      <c r="G172" s="6">
        <f>IFERROR(VLOOKUP(B172,'Materia Prima'!B:E,4,FALSE),0)</f>
        <v/>
      </c>
      <c r="H172" s="6">
        <f>D172*G172</f>
        <v/>
      </c>
    </row>
    <row r="173">
      <c r="B173" s="5" t="inlineStr">
        <is>
          <t>PAPA WAFFLE NAT CAJA 6/4.5 LBS</t>
        </is>
      </c>
      <c r="C173" t="inlineStr">
        <is>
          <t>ingrediente</t>
        </is>
      </c>
      <c r="D173" t="n">
        <v>0.35</v>
      </c>
      <c r="E173" t="inlineStr">
        <is>
          <t>libra</t>
        </is>
      </c>
      <c r="G173" s="6">
        <f>IFERROR(VLOOKUP(B173,'Materia Prima'!B:E,4,FALSE),0)</f>
        <v/>
      </c>
      <c r="H173" s="6">
        <f>D173*G173</f>
        <v/>
      </c>
    </row>
    <row r="174">
      <c r="B174" s="5" t="inlineStr">
        <is>
          <t>Aros de Cebolla</t>
        </is>
      </c>
      <c r="C174" t="inlineStr">
        <is>
          <t>sub_receta</t>
        </is>
      </c>
      <c r="D174" t="n">
        <v>1</v>
      </c>
      <c r="E174" t="inlineStr">
        <is>
          <t>porcion</t>
        </is>
      </c>
      <c r="G174" t="n">
        <v>0.2016</v>
      </c>
      <c r="H174" s="6">
        <f>D174*G174</f>
        <v/>
      </c>
    </row>
    <row r="175">
      <c r="B175" s="5" t="inlineStr">
        <is>
          <t>Ranch 1 Galon</t>
        </is>
      </c>
      <c r="C175" t="inlineStr">
        <is>
          <t>ingrediente</t>
        </is>
      </c>
      <c r="D175" t="n">
        <v>2</v>
      </c>
      <c r="E175" t="inlineStr">
        <is>
          <t>oz</t>
        </is>
      </c>
      <c r="G175" s="6">
        <f>IFERROR(VLOOKUP(B175,'Materia Prima'!B:E,4,FALSE),0)</f>
        <v/>
      </c>
      <c r="H175" s="6">
        <f>D175*G175</f>
        <v/>
      </c>
    </row>
    <row r="176">
      <c r="B176" s="5" t="inlineStr">
        <is>
          <t>Salsa Ketchup GL. 4X3.5 KG MC Cormick</t>
        </is>
      </c>
      <c r="C176" t="inlineStr">
        <is>
          <t>ingrediente</t>
        </is>
      </c>
      <c r="D176" t="n">
        <v>3</v>
      </c>
      <c r="E176" t="inlineStr">
        <is>
          <t>oz</t>
        </is>
      </c>
      <c r="G176" s="6">
        <f>IFERROR(VLOOKUP(B176,'Materia Prima'!B:E,4,FALSE),0)</f>
        <v/>
      </c>
      <c r="H176" s="6">
        <f>D176*G176</f>
        <v/>
      </c>
    </row>
    <row r="177">
      <c r="B177" s="5" t="inlineStr">
        <is>
          <t>Mayonesa Hellmans Real</t>
        </is>
      </c>
      <c r="C177" t="inlineStr">
        <is>
          <t>ingrediente</t>
        </is>
      </c>
      <c r="D177" t="n">
        <v>3</v>
      </c>
      <c r="E177" t="inlineStr">
        <is>
          <t>oz</t>
        </is>
      </c>
      <c r="G177" s="6">
        <f>IFERROR(VLOOKUP(B177,'Materia Prima'!B:E,4,FALSE),0)</f>
        <v/>
      </c>
      <c r="H177" s="6">
        <f>D177*G177</f>
        <v/>
      </c>
    </row>
    <row r="178">
      <c r="B178" s="5" t="inlineStr">
        <is>
          <t>Cheddar Porcionado (Bolsa 2lb)</t>
        </is>
      </c>
      <c r="C178" t="inlineStr">
        <is>
          <t>sub_receta</t>
        </is>
      </c>
      <c r="D178" t="n">
        <v>3</v>
      </c>
      <c r="E178" t="inlineStr">
        <is>
          <t>bolsa</t>
        </is>
      </c>
      <c r="F178" t="n">
        <v>0.03125</v>
      </c>
      <c r="G178" s="6">
        <f>'Sub-Productos'!I15</f>
        <v/>
      </c>
      <c r="H178" s="6">
        <f>D178*G178*F178</f>
        <v/>
      </c>
    </row>
    <row r="179">
      <c r="B179" s="5" t="inlineStr">
        <is>
          <t>Salsa Chipotle</t>
        </is>
      </c>
      <c r="C179" t="inlineStr">
        <is>
          <t>sub_receta</t>
        </is>
      </c>
      <c r="D179" t="n">
        <v>0.09375</v>
      </c>
      <c r="E179" t="inlineStr">
        <is>
          <t>bolsa</t>
        </is>
      </c>
      <c r="G179" s="6">
        <f>'Sub-Productos'!I134</f>
        <v/>
      </c>
      <c r="H179" s="6">
        <f>D179*G179</f>
        <v/>
      </c>
    </row>
    <row r="180"/>
    <row r="181">
      <c r="A181" s="3" t="inlineStr">
        <is>
          <t>Freakie Burger</t>
        </is>
      </c>
      <c r="B181" s="4" t="n"/>
      <c r="C181" s="4" t="n"/>
      <c r="D181" s="4" t="n"/>
      <c r="E181" s="4" t="n"/>
      <c r="F181" s="4" t="n"/>
      <c r="G181" s="4" t="n"/>
      <c r="H181" s="4" t="n"/>
      <c r="I181" s="4" t="n">
        <v>0</v>
      </c>
      <c r="J181" s="8">
        <f>SUM(H182:H183)</f>
        <v/>
      </c>
      <c r="K181" s="9">
        <f>IF(I181&gt;0,(I181-J181)/I181*100,0)</f>
        <v/>
      </c>
    </row>
    <row r="182">
      <c r="B182" s="5" t="inlineStr">
        <is>
          <t>Hamburguesa Sencilla (armada)</t>
        </is>
      </c>
      <c r="C182" t="inlineStr">
        <is>
          <t>sub_receta</t>
        </is>
      </c>
      <c r="D182" t="n">
        <v>1</v>
      </c>
      <c r="E182" t="inlineStr">
        <is>
          <t>unidad</t>
        </is>
      </c>
      <c r="G182" s="6">
        <f>'Sub-Productos'!I78</f>
        <v/>
      </c>
      <c r="H182" s="6">
        <f>D182*G182</f>
        <v/>
      </c>
    </row>
    <row r="183">
      <c r="B183" s="5" t="inlineStr">
        <is>
          <t>Papa Sazonada</t>
        </is>
      </c>
      <c r="C183" t="inlineStr">
        <is>
          <t>sub_receta</t>
        </is>
      </c>
      <c r="D183" t="n">
        <v>1</v>
      </c>
      <c r="E183" t="inlineStr">
        <is>
          <t>porcion</t>
        </is>
      </c>
      <c r="G183" s="6">
        <f>'Sub-Productos'!I114</f>
        <v/>
      </c>
      <c r="H183" s="6">
        <f>D183*G183</f>
        <v/>
      </c>
    </row>
    <row r="184"/>
    <row r="185">
      <c r="A185" s="3" t="inlineStr">
        <is>
          <t>Freakie Dog</t>
        </is>
      </c>
      <c r="B185" s="4" t="n"/>
      <c r="C185" s="4" t="n"/>
      <c r="D185" s="4" t="n"/>
      <c r="E185" s="4" t="n"/>
      <c r="F185" s="4" t="n"/>
      <c r="G185" s="4" t="n"/>
      <c r="H185" s="4" t="n"/>
      <c r="I185" s="4" t="n">
        <v>0</v>
      </c>
      <c r="J185" s="8">
        <f>SUM(H186:H187)</f>
        <v/>
      </c>
      <c r="K185" s="9">
        <f>IF(I185&gt;0,(I185-J185)/I185*100,0)</f>
        <v/>
      </c>
    </row>
    <row r="186">
      <c r="B186" s="5" t="inlineStr">
        <is>
          <t>Freakie Dog armado</t>
        </is>
      </c>
      <c r="C186" t="inlineStr">
        <is>
          <t>sub_receta</t>
        </is>
      </c>
      <c r="D186" t="n">
        <v>1</v>
      </c>
      <c r="E186" t="inlineStr">
        <is>
          <t>unidad</t>
        </is>
      </c>
      <c r="G186" s="6">
        <f>'Sub-Productos'!I67</f>
        <v/>
      </c>
      <c r="H186" s="6">
        <f>D186*G186</f>
        <v/>
      </c>
    </row>
    <row r="187">
      <c r="B187" s="5" t="inlineStr">
        <is>
          <t>Polipel rollo fardo</t>
        </is>
      </c>
      <c r="C187" t="inlineStr">
        <is>
          <t>ingrediente</t>
        </is>
      </c>
      <c r="D187" t="n">
        <v>0.000109</v>
      </c>
      <c r="E187" t="inlineStr">
        <is>
          <t>unidad</t>
        </is>
      </c>
      <c r="G187" s="6">
        <f>IFERROR(VLOOKUP(B187,'Materia Prima'!B:E,4,FALSE),0)</f>
        <v/>
      </c>
      <c r="H187" s="6">
        <f>D187*G187</f>
        <v/>
      </c>
    </row>
    <row r="188"/>
    <row r="189">
      <c r="A189" s="3" t="inlineStr">
        <is>
          <t>Freakie Dog</t>
        </is>
      </c>
      <c r="B189" s="4" t="n"/>
      <c r="C189" s="4" t="n"/>
      <c r="D189" s="4" t="n"/>
      <c r="E189" s="4" t="n"/>
      <c r="F189" s="4" t="n"/>
      <c r="G189" s="4" t="n"/>
      <c r="H189" s="4" t="n"/>
      <c r="I189" s="4" t="n">
        <v>2.01</v>
      </c>
      <c r="J189" s="8">
        <f>SUM(H190:H192)</f>
        <v/>
      </c>
      <c r="K189" s="9">
        <f>IF(I189&gt;0,(I189-J189)/I189*100,0)</f>
        <v/>
      </c>
    </row>
    <row r="190">
      <c r="B190" s="5" t="inlineStr">
        <is>
          <t>Escabeche</t>
        </is>
      </c>
      <c r="C190" t="inlineStr">
        <is>
          <t>sub_receta</t>
        </is>
      </c>
      <c r="D190" t="n">
        <v>1</v>
      </c>
      <c r="E190" t="inlineStr">
        <is>
          <t>bolsa</t>
        </is>
      </c>
      <c r="G190" s="6">
        <f>'Sub-Productos'!I49</f>
        <v/>
      </c>
      <c r="H190" s="6">
        <f>D190*G190</f>
        <v/>
      </c>
    </row>
    <row r="191">
      <c r="B191" s="5" t="inlineStr">
        <is>
          <t>Pan Hot Dog Berna bolsa 10 unidades</t>
        </is>
      </c>
      <c r="C191" t="inlineStr">
        <is>
          <t>ingrediente</t>
        </is>
      </c>
      <c r="D191" t="n">
        <v>1</v>
      </c>
      <c r="E191" t="inlineStr">
        <is>
          <t>bolsa</t>
        </is>
      </c>
      <c r="F191" t="n">
        <v>0.1</v>
      </c>
      <c r="G191" s="6">
        <f>IFERROR(VLOOKUP(B191,'Materia Prima'!B:E,4,FALSE),0)</f>
        <v/>
      </c>
      <c r="H191" s="6">
        <f>D191*G191*F191</f>
        <v/>
      </c>
    </row>
    <row r="192">
      <c r="B192" s="5" t="inlineStr">
        <is>
          <t>Salchicha Parowsi paquete 25 unidades</t>
        </is>
      </c>
      <c r="C192" t="inlineStr">
        <is>
          <t>ingrediente</t>
        </is>
      </c>
      <c r="D192" t="n">
        <v>1</v>
      </c>
      <c r="E192" t="inlineStr">
        <is>
          <t>paquete</t>
        </is>
      </c>
      <c r="F192" t="n">
        <v>0.04</v>
      </c>
      <c r="G192" s="6">
        <f>IFERROR(VLOOKUP(B192,'Materia Prima'!B:E,4,FALSE),0)</f>
        <v/>
      </c>
      <c r="H192" s="6">
        <f>D192*G192*F192</f>
        <v/>
      </c>
    </row>
    <row r="193"/>
    <row r="194">
      <c r="A194" s="3" t="inlineStr">
        <is>
          <t>Freakie Family</t>
        </is>
      </c>
      <c r="B194" s="4" t="n"/>
      <c r="C194" s="4" t="n"/>
      <c r="D194" s="4" t="n"/>
      <c r="E194" s="4" t="n"/>
      <c r="F194" s="4" t="n"/>
      <c r="G194" s="4" t="n"/>
      <c r="H194" s="4" t="n"/>
      <c r="I194" s="4" t="n">
        <v>0</v>
      </c>
      <c r="J194" s="8">
        <f>SUM(H195:H196)</f>
        <v/>
      </c>
      <c r="K194" s="9">
        <f>IF(I194&gt;0,(I194-J194)/I194*100,0)</f>
        <v/>
      </c>
    </row>
    <row r="195">
      <c r="B195" s="5" t="inlineStr">
        <is>
          <t>Freakie Dog armado</t>
        </is>
      </c>
      <c r="C195" t="inlineStr">
        <is>
          <t>sub_receta</t>
        </is>
      </c>
      <c r="D195" t="n">
        <v>4</v>
      </c>
      <c r="E195" t="inlineStr">
        <is>
          <t>unidad</t>
        </is>
      </c>
      <c r="G195" s="6">
        <f>'Sub-Productos'!I67</f>
        <v/>
      </c>
      <c r="H195" s="6">
        <f>D195*G195</f>
        <v/>
      </c>
    </row>
    <row r="196">
      <c r="B196" s="5" t="inlineStr">
        <is>
          <t>Papa Sazonada</t>
        </is>
      </c>
      <c r="C196" t="inlineStr">
        <is>
          <t>sub_receta</t>
        </is>
      </c>
      <c r="D196" t="n">
        <v>4</v>
      </c>
      <c r="E196" t="inlineStr">
        <is>
          <t>porcion</t>
        </is>
      </c>
      <c r="G196" s="6">
        <f>'Sub-Productos'!I114</f>
        <v/>
      </c>
      <c r="H196" s="6">
        <f>D196*G196</f>
        <v/>
      </c>
    </row>
    <row r="197"/>
    <row r="198">
      <c r="A198" s="3" t="inlineStr">
        <is>
          <t>Freakie Fries</t>
        </is>
      </c>
      <c r="B198" s="4" t="n"/>
      <c r="C198" s="4" t="n"/>
      <c r="D198" s="4" t="n"/>
      <c r="E198" s="4" t="n"/>
      <c r="F198" s="4" t="n"/>
      <c r="G198" s="4" t="n"/>
      <c r="H198" s="4" t="n"/>
      <c r="I198" s="4" t="n">
        <v>0</v>
      </c>
      <c r="J198" s="8">
        <f>SUM(H199:H199)</f>
        <v/>
      </c>
      <c r="K198" s="9">
        <f>IF(I198&gt;0,(I198-J198)/I198*100,0)</f>
        <v/>
      </c>
    </row>
    <row r="199">
      <c r="B199" s="5" t="inlineStr">
        <is>
          <t>Papa Sazonada</t>
        </is>
      </c>
      <c r="C199" t="inlineStr">
        <is>
          <t>sub_receta</t>
        </is>
      </c>
      <c r="D199" t="n">
        <v>1</v>
      </c>
      <c r="E199" t="inlineStr">
        <is>
          <t>porcion</t>
        </is>
      </c>
      <c r="G199" s="6">
        <f>'Sub-Productos'!I114</f>
        <v/>
      </c>
      <c r="H199" s="6">
        <f>D199*G199</f>
        <v/>
      </c>
    </row>
    <row r="200"/>
    <row r="201">
      <c r="A201" s="3" t="inlineStr">
        <is>
          <t>La Clasica</t>
        </is>
      </c>
      <c r="B201" s="4" t="n"/>
      <c r="C201" s="4" t="n"/>
      <c r="D201" s="4" t="n"/>
      <c r="E201" s="4" t="n"/>
      <c r="F201" s="4" t="n"/>
      <c r="G201" s="4" t="n"/>
      <c r="H201" s="4" t="n"/>
      <c r="I201" s="4" t="n">
        <v>0</v>
      </c>
      <c r="J201" s="8">
        <f>SUM(H202:H205)</f>
        <v/>
      </c>
      <c r="K201" s="9">
        <f>IF(I201&gt;0,(I201-J201)/I201*100,0)</f>
        <v/>
      </c>
    </row>
    <row r="202">
      <c r="B202" s="5" t="inlineStr">
        <is>
          <t>Hamburguesa Sencilla (armada)</t>
        </is>
      </c>
      <c r="C202" t="inlineStr">
        <is>
          <t>sub_receta</t>
        </is>
      </c>
      <c r="D202" t="n">
        <v>1</v>
      </c>
      <c r="E202" t="inlineStr">
        <is>
          <t>unidad</t>
        </is>
      </c>
      <c r="G202" s="6">
        <f>'Sub-Productos'!I78</f>
        <v/>
      </c>
      <c r="H202" s="6">
        <f>D202*G202</f>
        <v/>
      </c>
    </row>
    <row r="203">
      <c r="B203" s="5" t="inlineStr">
        <is>
          <t>Papa Sazonada</t>
        </is>
      </c>
      <c r="C203" t="inlineStr">
        <is>
          <t>sub_receta</t>
        </is>
      </c>
      <c r="D203" t="n">
        <v>1</v>
      </c>
      <c r="E203" t="inlineStr">
        <is>
          <t>porcion</t>
        </is>
      </c>
      <c r="G203" s="6">
        <f>'Sub-Productos'!I114</f>
        <v/>
      </c>
      <c r="H203" s="6">
        <f>D203*G203</f>
        <v/>
      </c>
    </row>
    <row r="204">
      <c r="B204" s="5" t="inlineStr">
        <is>
          <t>Lechuga libra escarolada</t>
        </is>
      </c>
      <c r="C204" t="inlineStr">
        <is>
          <t>ingrediente</t>
        </is>
      </c>
      <c r="D204" t="n">
        <v>0.025</v>
      </c>
      <c r="E204" t="inlineStr">
        <is>
          <t>lb</t>
        </is>
      </c>
      <c r="G204" s="6">
        <f>IFERROR(VLOOKUP(B204,'Materia Prima'!B:E,4,FALSE),0)</f>
        <v/>
      </c>
      <c r="H204" s="6">
        <f>D204*G204</f>
        <v/>
      </c>
    </row>
    <row r="205">
      <c r="B205" s="5" t="inlineStr">
        <is>
          <t>Tomate caja 25 libras</t>
        </is>
      </c>
      <c r="C205" t="inlineStr">
        <is>
          <t>ingrediente</t>
        </is>
      </c>
      <c r="D205" t="n">
        <v>0.03125</v>
      </c>
      <c r="E205" t="inlineStr">
        <is>
          <t>lb</t>
        </is>
      </c>
      <c r="G205" s="6">
        <f>IFERROR(VLOOKUP(B205,'Materia Prima'!B:E,4,FALSE),0)</f>
        <v/>
      </c>
      <c r="H205" s="6">
        <f>D205*G205</f>
        <v/>
      </c>
    </row>
    <row r="206"/>
    <row r="207">
      <c r="A207" s="3" t="inlineStr">
        <is>
          <t>Mega Promo</t>
        </is>
      </c>
      <c r="B207" s="4" t="n"/>
      <c r="C207" s="4" t="n"/>
      <c r="D207" s="4" t="n"/>
      <c r="E207" s="4" t="n"/>
      <c r="F207" s="4" t="n"/>
      <c r="G207" s="4" t="n"/>
      <c r="H207" s="4" t="n"/>
      <c r="I207" s="4" t="n">
        <v>0</v>
      </c>
      <c r="J207" s="8">
        <f>SUM(H208:H209)</f>
        <v/>
      </c>
      <c r="K207" s="9">
        <f>IF(I207&gt;0,(I207-J207)/I207*100,0)</f>
        <v/>
      </c>
    </row>
    <row r="208">
      <c r="B208" s="5" t="inlineStr">
        <is>
          <t>Freakie Dog armado</t>
        </is>
      </c>
      <c r="C208" t="inlineStr">
        <is>
          <t>sub_receta</t>
        </is>
      </c>
      <c r="D208" t="n">
        <v>2</v>
      </c>
      <c r="E208" t="inlineStr">
        <is>
          <t>unidad</t>
        </is>
      </c>
      <c r="G208" s="6">
        <f>'Sub-Productos'!I67</f>
        <v/>
      </c>
      <c r="H208" s="6">
        <f>D208*G208</f>
        <v/>
      </c>
    </row>
    <row r="209">
      <c r="B209" s="5" t="inlineStr">
        <is>
          <t>Papa Sazonada</t>
        </is>
      </c>
      <c r="C209" t="inlineStr">
        <is>
          <t>sub_receta</t>
        </is>
      </c>
      <c r="D209" t="n">
        <v>2</v>
      </c>
      <c r="E209" t="inlineStr">
        <is>
          <t>porcion</t>
        </is>
      </c>
      <c r="G209" s="6">
        <f>'Sub-Productos'!I114</f>
        <v/>
      </c>
      <c r="H209" s="6">
        <f>D209*G209</f>
        <v/>
      </c>
    </row>
    <row r="210"/>
    <row r="211">
      <c r="A211" s="3" t="inlineStr">
        <is>
          <t>Mini Fancys</t>
        </is>
      </c>
      <c r="B211" s="4" t="n"/>
      <c r="C211" s="4" t="n"/>
      <c r="D211" s="4" t="n"/>
      <c r="E211" s="4" t="n"/>
      <c r="F211" s="4" t="n"/>
      <c r="G211" s="4" t="n"/>
      <c r="H211" s="4" t="n"/>
      <c r="I211" s="4" t="n">
        <v>4.99</v>
      </c>
      <c r="J211" s="8" t="n">
        <v>0</v>
      </c>
      <c r="K211" s="9">
        <f>IF(I211&gt;0,(I211-J211)/I211*100,0)</f>
        <v/>
      </c>
    </row>
    <row r="212"/>
    <row r="213">
      <c r="A213" s="3" t="inlineStr">
        <is>
          <t>Pilsener Burger Box</t>
        </is>
      </c>
      <c r="B213" s="4" t="n"/>
      <c r="C213" s="4" t="n"/>
      <c r="D213" s="4" t="n"/>
      <c r="E213" s="4" t="n"/>
      <c r="F213" s="4" t="n"/>
      <c r="G213" s="4" t="n"/>
      <c r="H213" s="4" t="n"/>
      <c r="I213" s="4" t="n">
        <v>0</v>
      </c>
      <c r="J213" s="8">
        <f>SUM(H214:H215)</f>
        <v/>
      </c>
      <c r="K213" s="9">
        <f>IF(I213&gt;0,(I213-J213)/I213*100,0)</f>
        <v/>
      </c>
    </row>
    <row r="214">
      <c r="B214" s="5" t="inlineStr">
        <is>
          <t>Burger Box</t>
        </is>
      </c>
      <c r="C214" t="inlineStr">
        <is>
          <t>sub_receta</t>
        </is>
      </c>
      <c r="D214" t="n">
        <v>1</v>
      </c>
      <c r="E214" t="inlineStr">
        <is>
          <t>porcion</t>
        </is>
      </c>
      <c r="G214" t="n">
        <v>5.5733</v>
      </c>
      <c r="H214" s="6">
        <f>D214*G214</f>
        <v/>
      </c>
    </row>
    <row r="215">
      <c r="B215" s="5" t="inlineStr">
        <is>
          <t>Cerveza Pilsener VR 330ml</t>
        </is>
      </c>
      <c r="C215" t="inlineStr">
        <is>
          <t>ingrediente</t>
        </is>
      </c>
      <c r="D215" t="n">
        <v>1</v>
      </c>
      <c r="E215" t="inlineStr">
        <is>
          <t>unidad</t>
        </is>
      </c>
      <c r="G215" s="6">
        <f>IFERROR(VLOOKUP(B215,'Materia Prima'!B:E,4,FALSE),0)</f>
        <v/>
      </c>
      <c r="H215" s="6">
        <f>D215*G215</f>
        <v/>
      </c>
    </row>
    <row r="216"/>
    <row r="217">
      <c r="A217" s="3" t="inlineStr">
        <is>
          <t>Pilsener Freakie Burger</t>
        </is>
      </c>
      <c r="B217" s="4" t="n"/>
      <c r="C217" s="4" t="n"/>
      <c r="D217" s="4" t="n"/>
      <c r="E217" s="4" t="n"/>
      <c r="F217" s="4" t="n"/>
      <c r="G217" s="4" t="n"/>
      <c r="H217" s="4" t="n"/>
      <c r="I217" s="4" t="n">
        <v>0</v>
      </c>
      <c r="J217" s="8">
        <f>SUM(H218:H219)</f>
        <v/>
      </c>
      <c r="K217" s="9">
        <f>IF(I217&gt;0,(I217-J217)/I217*100,0)</f>
        <v/>
      </c>
    </row>
    <row r="218">
      <c r="B218" s="5" t="inlineStr">
        <is>
          <t>Freakie Burger</t>
        </is>
      </c>
      <c r="C218" t="inlineStr">
        <is>
          <t>sub_receta</t>
        </is>
      </c>
      <c r="D218" t="n">
        <v>1</v>
      </c>
      <c r="E218" t="inlineStr">
        <is>
          <t>porcion</t>
        </is>
      </c>
      <c r="G218" t="n">
        <v>2.468</v>
      </c>
      <c r="H218" s="6">
        <f>D218*G218</f>
        <v/>
      </c>
    </row>
    <row r="219">
      <c r="B219" s="5" t="inlineStr">
        <is>
          <t>Cerveza Pilsener VR 330ml</t>
        </is>
      </c>
      <c r="C219" t="inlineStr">
        <is>
          <t>ingrediente</t>
        </is>
      </c>
      <c r="D219" t="n">
        <v>1</v>
      </c>
      <c r="E219" t="inlineStr">
        <is>
          <t>unidad</t>
        </is>
      </c>
      <c r="G219" s="6">
        <f>IFERROR(VLOOKUP(B219,'Materia Prima'!B:E,4,FALSE),0)</f>
        <v/>
      </c>
      <c r="H219" s="6">
        <f>D219*G219</f>
        <v/>
      </c>
    </row>
    <row r="220"/>
    <row r="221">
      <c r="A221" s="3" t="inlineStr">
        <is>
          <t>Pilsener Freakie Combo</t>
        </is>
      </c>
      <c r="B221" s="4" t="n"/>
      <c r="C221" s="4" t="n"/>
      <c r="D221" s="4" t="n"/>
      <c r="E221" s="4" t="n"/>
      <c r="F221" s="4" t="n"/>
      <c r="G221" s="4" t="n"/>
      <c r="H221" s="4" t="n"/>
      <c r="I221" s="4" t="n">
        <v>0</v>
      </c>
      <c r="J221" s="8">
        <f>SUM(H222:H223)</f>
        <v/>
      </c>
      <c r="K221" s="9">
        <f>IF(I221&gt;0,(I221-J221)/I221*100,0)</f>
        <v/>
      </c>
    </row>
    <row r="222">
      <c r="B222" s="5" t="inlineStr">
        <is>
          <t>Coca-Cola Combo</t>
        </is>
      </c>
      <c r="C222" t="inlineStr">
        <is>
          <t>sub_receta</t>
        </is>
      </c>
      <c r="D222" t="n">
        <v>1</v>
      </c>
      <c r="E222" t="inlineStr">
        <is>
          <t>porcion</t>
        </is>
      </c>
      <c r="G222" t="n">
        <v>0.6698</v>
      </c>
      <c r="H222" s="6">
        <f>D222*G222</f>
        <v/>
      </c>
    </row>
    <row r="223">
      <c r="B223" s="5" t="inlineStr">
        <is>
          <t>Cerveza Pilsener VR 330ml</t>
        </is>
      </c>
      <c r="C223" t="inlineStr">
        <is>
          <t>ingrediente</t>
        </is>
      </c>
      <c r="D223" t="n">
        <v>1</v>
      </c>
      <c r="E223" t="inlineStr">
        <is>
          <t>unidad</t>
        </is>
      </c>
      <c r="G223" s="6">
        <f>IFERROR(VLOOKUP(B223,'Materia Prima'!B:E,4,FALSE),0)</f>
        <v/>
      </c>
      <c r="H223" s="6">
        <f>D223*G223</f>
        <v/>
      </c>
    </row>
    <row r="224"/>
    <row r="225">
      <c r="A225" s="3" t="inlineStr">
        <is>
          <t>Pilsener Royal Truffle Combo</t>
        </is>
      </c>
      <c r="B225" s="4" t="n"/>
      <c r="C225" s="4" t="n"/>
      <c r="D225" s="4" t="n"/>
      <c r="E225" s="4" t="n"/>
      <c r="F225" s="4" t="n"/>
      <c r="G225" s="4" t="n"/>
      <c r="H225" s="4" t="n"/>
      <c r="I225" s="4" t="n">
        <v>0</v>
      </c>
      <c r="J225" s="8">
        <f>SUM(H226:H227)</f>
        <v/>
      </c>
      <c r="K225" s="9">
        <f>IF(I225&gt;0,(I225-J225)/I225*100,0)</f>
        <v/>
      </c>
    </row>
    <row r="226">
      <c r="B226" s="5" t="inlineStr">
        <is>
          <t>Royal Truffle Combo</t>
        </is>
      </c>
      <c r="C226" t="inlineStr">
        <is>
          <t>sub_receta</t>
        </is>
      </c>
      <c r="D226" t="n">
        <v>1</v>
      </c>
      <c r="E226" t="inlineStr">
        <is>
          <t>porcion</t>
        </is>
      </c>
      <c r="G226" t="n">
        <v>6.4939</v>
      </c>
      <c r="H226" s="6">
        <f>D226*G226</f>
        <v/>
      </c>
    </row>
    <row r="227">
      <c r="B227" s="5" t="inlineStr">
        <is>
          <t>Cerveza Pilsener VR 330ml</t>
        </is>
      </c>
      <c r="C227" t="inlineStr">
        <is>
          <t>ingrediente</t>
        </is>
      </c>
      <c r="D227" t="n">
        <v>1</v>
      </c>
      <c r="E227" t="inlineStr">
        <is>
          <t>unidad</t>
        </is>
      </c>
      <c r="G227" s="6">
        <f>IFERROR(VLOOKUP(B227,'Materia Prima'!B:E,4,FALSE),0)</f>
        <v/>
      </c>
      <c r="H227" s="6">
        <f>D227*G227</f>
        <v/>
      </c>
    </row>
    <row r="228"/>
    <row r="229">
      <c r="A229" s="3" t="inlineStr">
        <is>
          <t>Queso Frito</t>
        </is>
      </c>
      <c r="B229" s="4" t="n"/>
      <c r="C229" s="4" t="n"/>
      <c r="D229" s="4" t="n"/>
      <c r="E229" s="4" t="n"/>
      <c r="F229" s="4" t="n"/>
      <c r="G229" s="4" t="n"/>
      <c r="H229" s="4" t="n"/>
      <c r="I229" s="4" t="n">
        <v>4.03</v>
      </c>
      <c r="J229" s="8">
        <f>SUM(H230:H230)</f>
        <v/>
      </c>
      <c r="K229" s="9">
        <f>IF(I229&gt;0,(I229-J229)/I229*100,0)</f>
        <v/>
      </c>
    </row>
    <row r="230">
      <c r="B230" s="5" t="inlineStr">
        <is>
          <t>Queso para dorar</t>
        </is>
      </c>
      <c r="C230" t="inlineStr">
        <is>
          <t>ingrediente</t>
        </is>
      </c>
      <c r="D230" t="n">
        <v>0.3</v>
      </c>
      <c r="E230" t="inlineStr">
        <is>
          <t>lb</t>
        </is>
      </c>
      <c r="G230" s="6">
        <f>IFERROR(VLOOKUP(B230,'Materia Prima'!B:E,4,FALSE),0)</f>
        <v/>
      </c>
      <c r="H230" s="6">
        <f>D230*G230</f>
        <v/>
      </c>
    </row>
    <row r="231"/>
    <row r="232">
      <c r="A232" s="3" t="inlineStr">
        <is>
          <t>Royal Truffle Combo</t>
        </is>
      </c>
      <c r="B232" s="4" t="n"/>
      <c r="C232" s="4" t="n"/>
      <c r="D232" s="4" t="n"/>
      <c r="E232" s="4" t="n"/>
      <c r="F232" s="4" t="n"/>
      <c r="G232" s="4" t="n"/>
      <c r="H232" s="4" t="n"/>
      <c r="I232" s="4" t="n">
        <v>0</v>
      </c>
      <c r="J232" s="8">
        <f>SUM(H233:H238)</f>
        <v/>
      </c>
      <c r="K232" s="9">
        <f>IF(I232&gt;0,(I232-J232)/I232*100,0)</f>
        <v/>
      </c>
    </row>
    <row r="233">
      <c r="B233" s="5" t="inlineStr">
        <is>
          <t>Hamburguesa Sencilla (armada)</t>
        </is>
      </c>
      <c r="C233" t="inlineStr">
        <is>
          <t>sub_receta</t>
        </is>
      </c>
      <c r="D233" t="n">
        <v>2</v>
      </c>
      <c r="E233" t="inlineStr">
        <is>
          <t>unidad</t>
        </is>
      </c>
      <c r="G233" s="6">
        <f>'Sub-Productos'!I78</f>
        <v/>
      </c>
      <c r="H233" s="6">
        <f>D233*G233</f>
        <v/>
      </c>
    </row>
    <row r="234">
      <c r="B234" s="5" t="inlineStr">
        <is>
          <t>Mini Fancy</t>
        </is>
      </c>
      <c r="C234" t="inlineStr">
        <is>
          <t>sub_receta</t>
        </is>
      </c>
      <c r="D234" t="n">
        <v>1</v>
      </c>
      <c r="E234" t="inlineStr">
        <is>
          <t>porcion</t>
        </is>
      </c>
      <c r="G234" s="6">
        <f>'Sub-Productos'!I106</f>
        <v/>
      </c>
      <c r="H234" s="6">
        <f>D234*G234</f>
        <v/>
      </c>
    </row>
    <row r="235">
      <c r="B235" s="5" t="inlineStr">
        <is>
          <t>Salsa Truffa</t>
        </is>
      </c>
      <c r="C235" t="inlineStr">
        <is>
          <t>sub_receta</t>
        </is>
      </c>
      <c r="D235" t="n">
        <v>0.0625</v>
      </c>
      <c r="E235" t="inlineStr">
        <is>
          <t>bolsa</t>
        </is>
      </c>
      <c r="G235" s="6">
        <f>'Sub-Productos'!I154</f>
        <v/>
      </c>
      <c r="H235" s="6">
        <f>D235*G235</f>
        <v/>
      </c>
    </row>
    <row r="236">
      <c r="B236" s="5" t="inlineStr">
        <is>
          <t>Queso Duro Viejo Aserrin 1.5kgs</t>
        </is>
      </c>
      <c r="C236" t="inlineStr">
        <is>
          <t>ingrediente</t>
        </is>
      </c>
      <c r="D236" t="n">
        <v>0.056699</v>
      </c>
      <c r="E236" t="inlineStr">
        <is>
          <t>kg</t>
        </is>
      </c>
      <c r="G236" s="6">
        <f>IFERROR(VLOOKUP(B236,'Materia Prima'!B:E,4,FALSE),0)</f>
        <v/>
      </c>
      <c r="H236" s="6">
        <f>D236*G236</f>
        <v/>
      </c>
    </row>
    <row r="237">
      <c r="B237" s="5" t="inlineStr">
        <is>
          <t>Queso Parmesano Block 2.27kg</t>
        </is>
      </c>
      <c r="C237" t="inlineStr">
        <is>
          <t>ingrediente</t>
        </is>
      </c>
      <c r="D237" t="n">
        <v>0.056699</v>
      </c>
      <c r="E237" t="inlineStr">
        <is>
          <t>kg</t>
        </is>
      </c>
      <c r="G237" s="6">
        <f>IFERROR(VLOOKUP(B237,'Materia Prima'!B:E,4,FALSE),0)</f>
        <v/>
      </c>
      <c r="H237" s="6">
        <f>D237*G237</f>
        <v/>
      </c>
    </row>
    <row r="238">
      <c r="B238" s="5" t="inlineStr">
        <is>
          <t>Cilantro badia bote 99.2 gr</t>
        </is>
      </c>
      <c r="C238" t="inlineStr">
        <is>
          <t>ingrediente</t>
        </is>
      </c>
      <c r="D238" t="n">
        <v>0.285782</v>
      </c>
      <c r="E238" t="inlineStr">
        <is>
          <t>bote</t>
        </is>
      </c>
      <c r="G238" s="6">
        <f>IFERROR(VLOOKUP(B238,'Materia Prima'!B:E,4,FALSE),0)</f>
        <v/>
      </c>
      <c r="H238" s="6">
        <f>D238*G238</f>
        <v/>
      </c>
    </row>
    <row r="239"/>
    <row r="240">
      <c r="A240" s="3" t="inlineStr">
        <is>
          <t>Super Freak</t>
        </is>
      </c>
      <c r="B240" s="4" t="n"/>
      <c r="C240" s="4" t="n"/>
      <c r="D240" s="4" t="n"/>
      <c r="E240" s="4" t="n"/>
      <c r="F240" s="4" t="n"/>
      <c r="G240" s="4" t="n"/>
      <c r="H240" s="4" t="n"/>
      <c r="I240" s="4" t="n">
        <v>0</v>
      </c>
      <c r="J240" s="8">
        <f>SUM(H241:H241)</f>
        <v/>
      </c>
      <c r="K240" s="9">
        <f>IF(I240&gt;0,(I240-J240)/I240*100,0)</f>
        <v/>
      </c>
    </row>
    <row r="241">
      <c r="B241" s="5" t="inlineStr">
        <is>
          <t>Super Freak armado</t>
        </is>
      </c>
      <c r="C241" t="inlineStr">
        <is>
          <t>sub_receta</t>
        </is>
      </c>
      <c r="D241" t="n">
        <v>1</v>
      </c>
      <c r="E241" t="inlineStr">
        <is>
          <t>unidad</t>
        </is>
      </c>
      <c r="G241" s="6">
        <f>'Sub-Productos'!I163</f>
        <v/>
      </c>
      <c r="H241" s="6">
        <f>D241*G241</f>
        <v/>
      </c>
    </row>
    <row r="242"/>
    <row r="243">
      <c r="A243" s="3" t="inlineStr">
        <is>
          <t>Super Freak Individual</t>
        </is>
      </c>
      <c r="B243" s="4" t="n"/>
      <c r="C243" s="4" t="n"/>
      <c r="D243" s="4" t="n"/>
      <c r="E243" s="4" t="n"/>
      <c r="F243" s="4" t="n"/>
      <c r="G243" s="4" t="n"/>
      <c r="H243" s="4" t="n"/>
      <c r="I243" s="4" t="n">
        <v>3.05</v>
      </c>
      <c r="J243" s="8">
        <f>SUM(H244:H247)</f>
        <v/>
      </c>
      <c r="K243" s="9">
        <f>IF(I243&gt;0,(I243-J243)/I243*100,0)</f>
        <v/>
      </c>
    </row>
    <row r="244">
      <c r="B244" s="5" t="inlineStr">
        <is>
          <t>Sal de Hamburguesa</t>
        </is>
      </c>
      <c r="C244" t="inlineStr">
        <is>
          <t>sub_receta</t>
        </is>
      </c>
      <c r="D244" t="n">
        <v>1</v>
      </c>
      <c r="E244" t="inlineStr">
        <is>
          <t>bolsa</t>
        </is>
      </c>
      <c r="G244" s="6">
        <f>'Sub-Productos'!I129</f>
        <v/>
      </c>
      <c r="H244" s="6">
        <f>D244*G244</f>
        <v/>
      </c>
    </row>
    <row r="245">
      <c r="B245" s="5" t="inlineStr">
        <is>
          <t>MQ LAC Procesado Reb AM C 1.4kg/3lb</t>
        </is>
      </c>
      <c r="C245" t="inlineStr">
        <is>
          <t>ingrediente</t>
        </is>
      </c>
      <c r="D245" t="n">
        <v>0.5</v>
      </c>
      <c r="E245" t="inlineStr">
        <is>
          <t>lb</t>
        </is>
      </c>
      <c r="G245" s="6">
        <f>IFERROR(VLOOKUP(B245,'Materia Prima'!B:E,4,FALSE),0)</f>
        <v/>
      </c>
      <c r="H245" s="6">
        <f>D245*G245</f>
        <v/>
      </c>
    </row>
    <row r="246">
      <c r="B246" s="5" t="inlineStr">
        <is>
          <t>Mezcla de Carne Smash</t>
        </is>
      </c>
      <c r="C246" t="inlineStr">
        <is>
          <t>sub_receta</t>
        </is>
      </c>
      <c r="D246" t="n">
        <v>3</v>
      </c>
      <c r="E246" t="inlineStr">
        <is>
          <t>unidad</t>
        </is>
      </c>
      <c r="G246" s="6">
        <f>'Sub-Productos'!I101</f>
        <v/>
      </c>
      <c r="H246" s="6">
        <f>D246*G246</f>
        <v/>
      </c>
    </row>
    <row r="247">
      <c r="B247" s="5" t="inlineStr">
        <is>
          <t>Pan de Hot Dog Brioche bolsa 12 unidades</t>
        </is>
      </c>
      <c r="C247" t="inlineStr">
        <is>
          <t>ingrediente</t>
        </is>
      </c>
      <c r="D247" t="n">
        <v>1</v>
      </c>
      <c r="E247" t="inlineStr">
        <is>
          <t>bolsa</t>
        </is>
      </c>
      <c r="F247" t="n">
        <v>0.083333</v>
      </c>
      <c r="G247" s="6">
        <f>IFERROR(VLOOKUP(B247,'Materia Prima'!B:E,4,FALSE),0)</f>
        <v/>
      </c>
      <c r="H247" s="6">
        <f>D247*G247*F247</f>
        <v/>
      </c>
    </row>
    <row r="248"/>
    <row r="249">
      <c r="A249" s="3" t="inlineStr">
        <is>
          <t>Sweat Freak</t>
        </is>
      </c>
      <c r="B249" s="4" t="n"/>
      <c r="C249" s="4" t="n"/>
      <c r="D249" s="4" t="n"/>
      <c r="E249" s="4" t="n"/>
      <c r="F249" s="4" t="n"/>
      <c r="G249" s="4" t="n"/>
      <c r="H249" s="4" t="n"/>
      <c r="I249" s="4" t="n">
        <v>0</v>
      </c>
      <c r="J249" s="8">
        <f>SUM(H250:H250)</f>
        <v/>
      </c>
      <c r="K249" s="9">
        <f>IF(I249&gt;0,(I249-J249)/I249*100,0)</f>
        <v/>
      </c>
    </row>
    <row r="250">
      <c r="B250" s="5" t="inlineStr">
        <is>
          <t>Postre Cheesecake Ailyn</t>
        </is>
      </c>
      <c r="C250" t="inlineStr">
        <is>
          <t>ingrediente</t>
        </is>
      </c>
      <c r="D250" t="n">
        <v>0.1</v>
      </c>
      <c r="E250" t="inlineStr">
        <is>
          <t>pastel</t>
        </is>
      </c>
      <c r="G250" s="6">
        <f>IFERROR(VLOOKUP(B250,'Materia Prima'!B:E,4,FALSE),0)</f>
        <v/>
      </c>
      <c r="H250" s="6">
        <f>D250*G250</f>
        <v/>
      </c>
    </row>
    <row r="251"/>
    <row r="252">
      <c r="A252" s="3" t="inlineStr">
        <is>
          <t>Sweet Burger Duo</t>
        </is>
      </c>
      <c r="B252" s="4" t="n"/>
      <c r="C252" s="4" t="n"/>
      <c r="D252" s="4" t="n"/>
      <c r="E252" s="4" t="n"/>
      <c r="F252" s="4" t="n"/>
      <c r="G252" s="4" t="n"/>
      <c r="H252" s="4" t="n"/>
      <c r="I252" s="4" t="n">
        <v>0</v>
      </c>
      <c r="J252" s="8">
        <f>SUM(H253:H255)</f>
        <v/>
      </c>
      <c r="K252" s="9">
        <f>IF(I252&gt;0,(I252-J252)/I252*100,0)</f>
        <v/>
      </c>
    </row>
    <row r="253">
      <c r="B253" s="5" t="inlineStr">
        <is>
          <t>Hamburguesa Sencilla (armada)</t>
        </is>
      </c>
      <c r="C253" t="inlineStr">
        <is>
          <t>sub_receta</t>
        </is>
      </c>
      <c r="D253" t="n">
        <v>2</v>
      </c>
      <c r="E253" t="inlineStr">
        <is>
          <t>unidad</t>
        </is>
      </c>
      <c r="G253" s="6">
        <f>'Sub-Productos'!I78</f>
        <v/>
      </c>
      <c r="H253" s="6">
        <f>D253*G253</f>
        <v/>
      </c>
    </row>
    <row r="254">
      <c r="B254" s="5" t="inlineStr">
        <is>
          <t>Papa Sazonada</t>
        </is>
      </c>
      <c r="C254" t="inlineStr">
        <is>
          <t>sub_receta</t>
        </is>
      </c>
      <c r="D254" t="n">
        <v>2</v>
      </c>
      <c r="E254" t="inlineStr">
        <is>
          <t>porcion</t>
        </is>
      </c>
      <c r="G254" s="6">
        <f>'Sub-Productos'!I114</f>
        <v/>
      </c>
      <c r="H254" s="6">
        <f>D254*G254</f>
        <v/>
      </c>
    </row>
    <row r="255">
      <c r="B255" s="5" t="inlineStr">
        <is>
          <t>Postre Cheesecake Ailyn</t>
        </is>
      </c>
      <c r="C255" t="inlineStr">
        <is>
          <t>ingrediente</t>
        </is>
      </c>
      <c r="D255" t="n">
        <v>0.1</v>
      </c>
      <c r="E255" t="inlineStr">
        <is>
          <t>pastel</t>
        </is>
      </c>
      <c r="G255" s="6">
        <f>IFERROR(VLOOKUP(B255,'Materia Prima'!B:E,4,FALSE),0)</f>
        <v/>
      </c>
      <c r="H255" s="6">
        <f>D255*G255</f>
        <v/>
      </c>
    </row>
    <row r="256"/>
    <row r="257">
      <c r="A257" s="3" t="inlineStr">
        <is>
          <t>Tocino porción</t>
        </is>
      </c>
      <c r="B257" s="4" t="n"/>
      <c r="C257" s="4" t="n"/>
      <c r="D257" s="4" t="n"/>
      <c r="E257" s="4" t="n"/>
      <c r="F257" s="4" t="n"/>
      <c r="G257" s="4" t="n"/>
      <c r="H257" s="4" t="n"/>
      <c r="I257" s="4" t="n">
        <v>0</v>
      </c>
      <c r="J257" s="8">
        <f>SUM(H258:H258)</f>
        <v/>
      </c>
      <c r="K257" s="9">
        <f>IF(I257&gt;0,(I257-J257)/I257*100,0)</f>
        <v/>
      </c>
    </row>
    <row r="258">
      <c r="B258" s="5" t="inlineStr">
        <is>
          <t>Tocino Ahumado Chimex kg</t>
        </is>
      </c>
      <c r="C258" t="inlineStr">
        <is>
          <t>ingrediente</t>
        </is>
      </c>
      <c r="D258" t="n">
        <v>0.032</v>
      </c>
      <c r="E258" t="inlineStr">
        <is>
          <t>kg</t>
        </is>
      </c>
      <c r="G258" s="6">
        <f>IFERROR(VLOOKUP(B258,'Materia Prima'!B:E,4,FALSE),0)</f>
        <v/>
      </c>
      <c r="H258" s="6">
        <f>D258*G258</f>
        <v/>
      </c>
    </row>
    <row r="259"/>
    <row r="260">
      <c r="A260" s="10" t="inlineStr">
        <is>
          <t>Agua Mineral Kinley Club Soda Lata 354ml</t>
        </is>
      </c>
      <c r="B260" s="10" t="inlineStr">
        <is>
          <t>⚠ SIN RECETA</t>
        </is>
      </c>
      <c r="C260" s="11" t="n"/>
      <c r="D260" s="11" t="n"/>
      <c r="E260" s="11" t="n"/>
      <c r="F260" s="11" t="n"/>
      <c r="G260" s="11" t="n"/>
      <c r="H260" s="11" t="n"/>
      <c r="I260" s="11" t="n"/>
      <c r="J260" s="11" t="n"/>
      <c r="K260" s="11" t="n"/>
    </row>
    <row r="261">
      <c r="A261" s="10" t="inlineStr">
        <is>
          <t>Cerveza Corona Cero VNR 355ml</t>
        </is>
      </c>
      <c r="B261" s="10" t="inlineStr">
        <is>
          <t>⚠ SIN RECETA</t>
        </is>
      </c>
      <c r="C261" s="11" t="n"/>
      <c r="D261" s="11" t="n"/>
      <c r="E261" s="11" t="n"/>
      <c r="F261" s="11" t="n"/>
      <c r="G261" s="11" t="n"/>
      <c r="H261" s="11" t="n"/>
      <c r="I261" s="11" t="n"/>
      <c r="J261" s="11" t="n"/>
      <c r="K261" s="11" t="n"/>
    </row>
    <row r="262">
      <c r="A262" s="10" t="inlineStr">
        <is>
          <t>Cerveza Corona Extra VNR 330ml</t>
        </is>
      </c>
      <c r="B262" s="10" t="inlineStr">
        <is>
          <t>⚠ SIN RECETA</t>
        </is>
      </c>
      <c r="C262" s="11" t="n"/>
      <c r="D262" s="11" t="n"/>
      <c r="E262" s="11" t="n"/>
      <c r="F262" s="11" t="n"/>
      <c r="G262" s="11" t="n"/>
      <c r="H262" s="11" t="n"/>
      <c r="I262" s="11" t="n"/>
      <c r="J262" s="11" t="n"/>
      <c r="K262" s="11" t="n"/>
    </row>
    <row r="263">
      <c r="A263" s="10" t="inlineStr">
        <is>
          <t>Cerveza Golden VR 292ml</t>
        </is>
      </c>
      <c r="B263" s="10" t="inlineStr">
        <is>
          <t>⚠ SIN RECETA</t>
        </is>
      </c>
      <c r="C263" s="11" t="n"/>
      <c r="D263" s="11" t="n"/>
      <c r="E263" s="11" t="n"/>
      <c r="F263" s="11" t="n"/>
      <c r="G263" s="11" t="n"/>
      <c r="H263" s="11" t="n"/>
      <c r="I263" s="11" t="n"/>
      <c r="J263" s="11" t="n"/>
      <c r="K263" s="11" t="n"/>
    </row>
    <row r="264">
      <c r="A264" s="10" t="inlineStr">
        <is>
          <t>Cerveza Michelob Ultra VNR 355ml</t>
        </is>
      </c>
      <c r="B264" s="10" t="inlineStr">
        <is>
          <t>⚠ SIN RECETA</t>
        </is>
      </c>
      <c r="C264" s="11" t="n"/>
      <c r="D264" s="11" t="n"/>
      <c r="E264" s="11" t="n"/>
      <c r="F264" s="11" t="n"/>
      <c r="G264" s="11" t="n"/>
      <c r="H264" s="11" t="n"/>
      <c r="I264" s="11" t="n"/>
      <c r="J264" s="11" t="n"/>
      <c r="K264" s="11" t="n"/>
    </row>
    <row r="265">
      <c r="A265" s="10" t="inlineStr">
        <is>
          <t>Cerveza Modelo VNR 355ml</t>
        </is>
      </c>
      <c r="B265" s="10" t="inlineStr">
        <is>
          <t>⚠ SIN RECETA</t>
        </is>
      </c>
      <c r="C265" s="11" t="n"/>
      <c r="D265" s="11" t="n"/>
      <c r="E265" s="11" t="n"/>
      <c r="F265" s="11" t="n"/>
      <c r="G265" s="11" t="n"/>
      <c r="H265" s="11" t="n"/>
      <c r="I265" s="11" t="n"/>
      <c r="J265" s="11" t="n"/>
      <c r="K265" s="11" t="n"/>
    </row>
    <row r="266">
      <c r="A266" s="10" t="inlineStr">
        <is>
          <t>Cerveza Pilsener Cabuda VR 1.2L</t>
        </is>
      </c>
      <c r="B266" s="10" t="inlineStr">
        <is>
          <t>⚠ SIN RECETA</t>
        </is>
      </c>
      <c r="C266" s="11" t="n"/>
      <c r="D266" s="11" t="n"/>
      <c r="E266" s="11" t="n"/>
      <c r="F266" s="11" t="n"/>
      <c r="G266" s="11" t="n"/>
      <c r="H266" s="11" t="n"/>
      <c r="I266" s="11" t="n"/>
      <c r="J266" s="11" t="n"/>
      <c r="K266" s="11" t="n"/>
    </row>
    <row r="267">
      <c r="A267" s="10" t="inlineStr">
        <is>
          <t>Cerveza Pilsener VR 330ml</t>
        </is>
      </c>
      <c r="B267" s="10" t="inlineStr">
        <is>
          <t>⚠ SIN RECETA</t>
        </is>
      </c>
      <c r="C267" s="11" t="n"/>
      <c r="D267" s="11" t="n"/>
      <c r="E267" s="11" t="n"/>
      <c r="F267" s="11" t="n"/>
      <c r="G267" s="11" t="n"/>
      <c r="H267" s="11" t="n"/>
      <c r="I267" s="11" t="n"/>
      <c r="J267" s="11" t="n"/>
      <c r="K267" s="11" t="n"/>
    </row>
    <row r="268">
      <c r="A268" s="10" t="inlineStr">
        <is>
          <t>Cerveza Pilsener VR 750ml</t>
        </is>
      </c>
      <c r="B268" s="10" t="inlineStr">
        <is>
          <t>⚠ SIN RECETA</t>
        </is>
      </c>
      <c r="C268" s="11" t="n"/>
      <c r="D268" s="11" t="n"/>
      <c r="E268" s="11" t="n"/>
      <c r="F268" s="11" t="n"/>
      <c r="G268" s="11" t="n"/>
      <c r="H268" s="11" t="n"/>
      <c r="I268" s="11" t="n"/>
      <c r="J268" s="11" t="n"/>
      <c r="K268" s="11" t="n"/>
    </row>
    <row r="269">
      <c r="A269" s="10" t="inlineStr">
        <is>
          <t>Cerveza Regia VR 750ml</t>
        </is>
      </c>
      <c r="B269" s="10" t="inlineStr">
        <is>
          <t>⚠ SIN RECETA</t>
        </is>
      </c>
      <c r="C269" s="11" t="n"/>
      <c r="D269" s="11" t="n"/>
      <c r="E269" s="11" t="n"/>
      <c r="F269" s="11" t="n"/>
      <c r="G269" s="11" t="n"/>
      <c r="H269" s="11" t="n"/>
      <c r="I269" s="11" t="n"/>
      <c r="J269" s="11" t="n"/>
      <c r="K269" s="11" t="n"/>
    </row>
    <row r="270">
      <c r="A270" s="10" t="inlineStr">
        <is>
          <t>Coffee-mate vainilla 12x350 G</t>
        </is>
      </c>
      <c r="B270" s="10" t="inlineStr">
        <is>
          <t>⚠ SIN RECETA</t>
        </is>
      </c>
      <c r="C270" s="11" t="n"/>
      <c r="D270" s="11" t="n"/>
      <c r="E270" s="11" t="n"/>
      <c r="F270" s="11" t="n"/>
      <c r="G270" s="11" t="n"/>
      <c r="H270" s="11" t="n"/>
      <c r="I270" s="11" t="n"/>
      <c r="J270" s="11" t="n"/>
      <c r="K270" s="11" t="n"/>
    </row>
    <row r="271">
      <c r="A271" s="10" t="inlineStr">
        <is>
          <t>Freakie Dog armado</t>
        </is>
      </c>
      <c r="B271" s="10" t="inlineStr">
        <is>
          <t>⚠ SIN RECETA</t>
        </is>
      </c>
      <c r="C271" s="11" t="n"/>
      <c r="D271" s="11" t="n"/>
      <c r="E271" s="11" t="n"/>
      <c r="F271" s="11" t="n"/>
      <c r="G271" s="11" t="n"/>
      <c r="H271" s="11" t="n"/>
      <c r="I271" s="11" t="n"/>
      <c r="J271" s="11" t="n"/>
      <c r="K271" s="11" t="n"/>
    </row>
    <row r="272">
      <c r="A272" s="10" t="inlineStr">
        <is>
          <t>Jarabe gourmet monin - black raspberry 1lt</t>
        </is>
      </c>
      <c r="B272" s="10" t="inlineStr">
        <is>
          <t>⚠ SIN RECETA</t>
        </is>
      </c>
      <c r="C272" s="11" t="n"/>
      <c r="D272" s="11" t="n"/>
      <c r="E272" s="11" t="n"/>
      <c r="F272" s="11" t="n"/>
      <c r="G272" s="11" t="n"/>
      <c r="H272" s="11" t="n"/>
      <c r="I272" s="11" t="n"/>
      <c r="J272" s="11" t="n"/>
      <c r="K272" s="11" t="n"/>
    </row>
    <row r="273">
      <c r="A273" s="10" t="inlineStr">
        <is>
          <t>Jarabe gourmet monin - caramelo sugar free</t>
        </is>
      </c>
      <c r="B273" s="10" t="inlineStr">
        <is>
          <t>⚠ SIN RECETA</t>
        </is>
      </c>
      <c r="C273" s="11" t="n"/>
      <c r="D273" s="11" t="n"/>
      <c r="E273" s="11" t="n"/>
      <c r="F273" s="11" t="n"/>
      <c r="G273" s="11" t="n"/>
      <c r="H273" s="11" t="n"/>
      <c r="I273" s="11" t="n"/>
      <c r="J273" s="11" t="n"/>
      <c r="K273" s="11" t="n"/>
    </row>
    <row r="274">
      <c r="A274" s="10" t="inlineStr">
        <is>
          <t>Jarabe gourmet monin - mojito</t>
        </is>
      </c>
      <c r="B274" s="10" t="inlineStr">
        <is>
          <t>⚠ SIN RECETA</t>
        </is>
      </c>
      <c r="C274" s="11" t="n"/>
      <c r="D274" s="11" t="n"/>
      <c r="E274" s="11" t="n"/>
      <c r="F274" s="11" t="n"/>
      <c r="G274" s="11" t="n"/>
      <c r="H274" s="11" t="n"/>
      <c r="I274" s="11" t="n"/>
      <c r="J274" s="11" t="n"/>
      <c r="K274" s="11" t="n"/>
    </row>
    <row r="275">
      <c r="A275" s="10" t="inlineStr">
        <is>
          <t>Jarabe gourmet monin - sandia</t>
        </is>
      </c>
      <c r="B275" s="10" t="inlineStr">
        <is>
          <t>⚠ SIN RECETA</t>
        </is>
      </c>
      <c r="C275" s="11" t="n"/>
      <c r="D275" s="11" t="n"/>
      <c r="E275" s="11" t="n"/>
      <c r="F275" s="11" t="n"/>
      <c r="G275" s="11" t="n"/>
      <c r="H275" s="11" t="n"/>
      <c r="I275" s="11" t="n"/>
      <c r="J275" s="11" t="n"/>
      <c r="K275" s="11" t="n"/>
    </row>
    <row r="276">
      <c r="A276" s="10" t="inlineStr">
        <is>
          <t>Kolashampan lata fardo 24 unidades</t>
        </is>
      </c>
      <c r="B276" s="10" t="inlineStr">
        <is>
          <t>⚠ SIN RECETA</t>
        </is>
      </c>
      <c r="C276" s="11" t="n"/>
      <c r="D276" s="11" t="n"/>
      <c r="E276" s="11" t="n"/>
      <c r="F276" s="11" t="n"/>
      <c r="G276" s="11" t="n"/>
      <c r="H276" s="11" t="n"/>
      <c r="I276" s="11" t="n"/>
      <c r="J276" s="11" t="n"/>
      <c r="K276" s="11" t="n"/>
    </row>
    <row r="277">
      <c r="A277" s="10" t="inlineStr">
        <is>
          <t>Puree monin - maracuya</t>
        </is>
      </c>
      <c r="B277" s="10" t="inlineStr">
        <is>
          <t>⚠ SIN RECETA</t>
        </is>
      </c>
      <c r="C277" s="11" t="n"/>
      <c r="D277" s="11" t="n"/>
      <c r="E277" s="11" t="n"/>
      <c r="F277" s="11" t="n"/>
      <c r="G277" s="11" t="n"/>
      <c r="H277" s="11" t="n"/>
      <c r="I277" s="11" t="n"/>
      <c r="J277" s="11" t="n"/>
      <c r="K277" s="11" t="n"/>
    </row>
    <row r="278">
      <c r="A278" s="10" t="inlineStr">
        <is>
          <t>Salsa monin - caramelo salado</t>
        </is>
      </c>
      <c r="B278" s="10" t="inlineStr">
        <is>
          <t>⚠ SIN RECETA</t>
        </is>
      </c>
      <c r="C278" s="11" t="n"/>
      <c r="D278" s="11" t="n"/>
      <c r="E278" s="11" t="n"/>
      <c r="F278" s="11" t="n"/>
      <c r="G278" s="11" t="n"/>
      <c r="H278" s="11" t="n"/>
      <c r="I278" s="11" t="n"/>
      <c r="J278" s="11" t="n"/>
      <c r="K278" s="11" t="n"/>
    </row>
    <row r="279">
      <c r="A279" s="10" t="inlineStr">
        <is>
          <t>Te Lipton Durazno lata fardo 24 unidades</t>
        </is>
      </c>
      <c r="B279" s="10" t="inlineStr">
        <is>
          <t>⚠ SIN RECETA</t>
        </is>
      </c>
      <c r="C279" s="11" t="n"/>
      <c r="D279" s="11" t="n"/>
      <c r="E279" s="11" t="n"/>
      <c r="F279" s="11" t="n"/>
      <c r="G279" s="11" t="n"/>
      <c r="H279" s="11" t="n"/>
      <c r="I279" s="11" t="n"/>
      <c r="J279" s="11" t="n"/>
      <c r="K279" s="11" t="n"/>
    </row>
    <row r="280">
      <c r="A280" s="10" t="inlineStr">
        <is>
          <t>Te Lipton Frambuesa lata fardo 24 unidades</t>
        </is>
      </c>
      <c r="B280" s="10" t="inlineStr">
        <is>
          <t>⚠ SIN RECETA</t>
        </is>
      </c>
      <c r="C280" s="11" t="n"/>
      <c r="D280" s="11" t="n"/>
      <c r="E280" s="11" t="n"/>
      <c r="F280" s="11" t="n"/>
      <c r="G280" s="11" t="n"/>
      <c r="H280" s="11" t="n"/>
      <c r="I280" s="11" t="n"/>
      <c r="J280" s="11" t="n"/>
      <c r="K280" s="11" t="n"/>
    </row>
    <row r="281">
      <c r="A281" s="10" t="inlineStr">
        <is>
          <t>Te Lipton Limón lata fardo 24 unidades</t>
        </is>
      </c>
      <c r="B281" s="10" t="inlineStr">
        <is>
          <t>⚠ SIN RECETA</t>
        </is>
      </c>
      <c r="C281" s="11" t="n"/>
      <c r="D281" s="11" t="n"/>
      <c r="E281" s="11" t="n"/>
      <c r="F281" s="11" t="n"/>
      <c r="G281" s="11" t="n"/>
      <c r="H281" s="11" t="n"/>
      <c r="I281" s="11" t="n"/>
      <c r="J281" s="11" t="n"/>
      <c r="K281" s="11" t="n"/>
    </row>
  </sheetData>
  <dataValidations count="1">
    <dataValidation sqref="B4 B5 B11 B12 B18 B30 B46 B47 B57 B62 B64 B65 B80 B81 B85 B86 B87 B88 B95 B96 B97 B99 B101 B102 B111 B112 B113 B114 B128 B129 B130 B135 B136 B137 B141 B145 B152 B153 B165 B166 B172 B173 B175 B176 B177 B187 B191 B192 B204 B205 B215 B219 B223 B227 B230 B236 B237 B238 B245 B247 B250 B255 B258" showDropDown="0" showInputMessage="0" showErrorMessage="0" allowBlank="1" type="list">
      <formula1>ListaIngredientes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80" customWidth="1" min="2" max="2"/>
  </cols>
  <sheetData>
    <row r="1">
      <c r="A1" s="12" t="inlineStr">
        <is>
          <t>Estructura del Excel</t>
        </is>
      </c>
      <c r="B1" t="inlineStr"/>
    </row>
    <row r="2">
      <c r="A2" s="13" t="inlineStr">
        <is>
          <t>Tab Materia Prima</t>
        </is>
      </c>
      <c r="B2" t="inlineStr">
        <is>
          <t>Lista maestra de todos los ingredientes/insumos. Es la fuente de verdad para precios. Los tabs de Sub-Productos y BOM Menú buscan precios aquí con BUSCARV.</t>
        </is>
      </c>
    </row>
    <row r="3">
      <c r="A3" s="13" t="inlineStr">
        <is>
          <t>Tab Sub-Productos</t>
        </is>
      </c>
      <c r="B3" t="inlineStr">
        <is>
          <t>Recetas de producción (salsas, mezcla de carne, etc.). Cada sección tiene un encabezado con el nombre y rendimiento, seguido de los ingredientes. El costo por porción se calcula automáticamente.</t>
        </is>
      </c>
    </row>
    <row r="4">
      <c r="A4" s="13" t="inlineStr">
        <is>
          <t>Tab BOM Menú</t>
        </is>
      </c>
      <c r="B4" t="inlineStr">
        <is>
          <t>Bill of Materials de cada ítem del menú. Muestra ingredientes directos + sub-recetas. El costo total y margen se calculan con fórmulas.</t>
        </is>
      </c>
    </row>
    <row r="5">
      <c r="A5" s="12" t="inlineStr"/>
      <c r="B5" t="inlineStr"/>
    </row>
    <row r="6">
      <c r="A6" s="12" t="inlineStr">
        <is>
          <t>Columnas clave</t>
        </is>
      </c>
      <c r="B6" t="inlineStr"/>
    </row>
    <row r="7">
      <c r="A7" s="13" t="inlineStr">
        <is>
          <t>precio_unit (MP)</t>
        </is>
      </c>
      <c r="B7" t="inlineStr">
        <is>
          <t>Precio por 1 unidad de stock. Ej: si el stock es en gramos, es $/gramo. Si es en bolsa, es $/bolsa.</t>
        </is>
      </c>
    </row>
    <row r="8">
      <c r="A8" s="13" t="inlineStr">
        <is>
          <t>cantidad (SP/BOM)</t>
        </is>
      </c>
      <c r="B8" t="inlineStr">
        <is>
          <t>Cuántas unidades del ingrediente se usan por lote (SP) o por porción vendida (BOM).</t>
        </is>
      </c>
    </row>
    <row r="9">
      <c r="A9" s="13" t="inlineStr">
        <is>
          <t>factor_a_stock</t>
        </is>
      </c>
      <c r="B9" t="inlineStr">
        <is>
          <t>Convierte la unidad de la receta a la unidad de stock. Ej: 1 hot dog usa 1 salchicha, pero el stock es en paquetes de 25 → factor = 1/25 = 0.04. Si las unidades coinciden, no se pone factor.</t>
        </is>
      </c>
    </row>
    <row r="10">
      <c r="A10" s="13" t="inlineStr">
        <is>
          <t>costo_linea</t>
        </is>
      </c>
      <c r="B10">
        <f> cantidad × precio_unit × factor. Es lo que cuesta ese ingrediente en esta receta.</f>
        <v/>
      </c>
    </row>
    <row r="11">
      <c r="A11" s="13" t="inlineStr">
        <is>
          <t>rendimiento</t>
        </is>
      </c>
      <c r="B11" t="inlineStr">
        <is>
          <t>Cuántas porciones salen de un lote. Ej: Mezcla Carne Smash rinde 650 bolitas por lote de 100 lb.</t>
        </is>
      </c>
    </row>
    <row r="12">
      <c r="A12" s="13" t="inlineStr">
        <is>
          <t>costo_por_porcion</t>
        </is>
      </c>
      <c r="B12">
        <f> costo_total_lote / rendimiento. Es lo que cuesta 1 porción del sub-producto.</f>
        <v/>
      </c>
    </row>
    <row r="13">
      <c r="A13" s="13" t="inlineStr">
        <is>
          <t>margen_%</t>
        </is>
      </c>
      <c r="B13">
        <f> (precio_venta - costo_total) / precio_venta × 100.</f>
        <v/>
      </c>
    </row>
    <row r="14">
      <c r="A14" s="12" t="inlineStr"/>
      <c r="B14" t="inlineStr"/>
    </row>
    <row r="15">
      <c r="A15" s="13" t="inlineStr">
        <is>
          <t>Celdas amarillas</t>
        </is>
      </c>
      <c r="B15" t="inlineStr">
        <is>
          <t>Contienen fórmulas — se recalculan automáticamente al cambiar ingredientes o precios.</t>
        </is>
      </c>
    </row>
    <row r="16">
      <c r="A16" s="13" t="inlineStr">
        <is>
          <t>Celdas rojas</t>
        </is>
      </c>
      <c r="B16" t="inlineStr">
        <is>
          <t>Ítems SIN RECETA — necesitan que se les cree una.</t>
        </is>
      </c>
    </row>
    <row r="17">
      <c r="A17" s="13" t="inlineStr">
        <is>
          <t>Dropdown en ingrediente</t>
        </is>
      </c>
      <c r="B17" t="inlineStr">
        <is>
          <t>Seleccionar de la lista de Materia Prima para que el BUSCARV traiga el precio correcto.</t>
        </is>
      </c>
    </row>
    <row r="18">
      <c r="A18" s="12" t="inlineStr"/>
      <c r="B18" t="inlineStr"/>
    </row>
    <row r="19">
      <c r="A19" s="12" t="inlineStr">
        <is>
          <t>Notas de Cesar (25-ago-2026)</t>
        </is>
      </c>
      <c r="B19" t="inlineStr"/>
    </row>
    <row r="20">
      <c r="A20" s="13" t="inlineStr">
        <is>
          <t>Recetas V3/V4 pendientes</t>
        </is>
      </c>
      <c r="B20" t="inlineStr">
        <is>
          <t>Mezcla Carne Smash V3, Salsa Mil Islas V4, Sal de Hamburguesa, Cebolla Morada V2, Hamburguesa Sencilla. Están en Editor_Recetas_Combo_Hamburguesa.html. NO aplicadas al DB aún.</t>
        </is>
      </c>
    </row>
    <row r="21">
      <c r="A21" s="13" t="inlineStr">
        <is>
          <t>Errores de unidades</t>
        </is>
      </c>
      <c r="B21" t="inlineStr">
        <is>
          <t>Ranch: precio era por galón pero unidad dice oz. Pepinillos: bote 46oz pero solo 19oz escurridos. Sal: 24× cara. Vinagre: 750× de más. Salsa inglesa: 8.5× de más.</t>
        </is>
      </c>
    </row>
    <row r="22">
      <c r="A22" s="13" t="inlineStr">
        <is>
          <t>Duplicados</t>
        </is>
      </c>
      <c r="B22" t="inlineStr">
        <is>
          <t>New York (2 filas), Brisket (3,321 lb sin mapear), Cebolla morada (4 filas, 2 ya desactivadas). 6,373 lb de carne ($25K) sin entrar a productos.</t>
        </is>
      </c>
    </row>
    <row r="23">
      <c r="A23" s="13" t="inlineStr">
        <is>
          <t>Producto faltante</t>
        </is>
      </c>
      <c r="B23" t="inlineStr">
        <is>
          <t>Bionis YE 38 — CREADO 25-ago, necesario para V3 Carne Smash.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2026-08-26T05:47:55Z</dcterms:created>
  <dcterms:modified xsi:type="dcterms:W3CDTF">2026-08-26T05:47:55Z</dcterms:modified>
</cp:coreProperties>
</file>