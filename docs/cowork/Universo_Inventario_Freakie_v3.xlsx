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eria Prima" sheetId="1" state="visible" r:id="rId1"/>
    <sheet name="Sub-Productos" sheetId="2" state="visible" r:id="rId2"/>
    <sheet name="BOM Menú" sheetId="3" state="visible" r:id="rId3"/>
    <sheet name="Explicación" sheetId="4" state="visible" r:id="rId4"/>
  </sheets>
  <definedNames>
    <definedName name="ListaIngredientes">'Materia Prima'!$B$3:$E$334</definedName>
    <definedName name="_xlnm._FilterDatabase" localSheetId="0" hidden="1">'Materia Prima'!$A$1:$E$334</definedName>
    <definedName name="_xlnm._FilterDatabase" localSheetId="2" hidden="1">'BOM Menú'!$A$1:$K$56</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8">
    <font>
      <name val="Calibri"/>
      <family val="2"/>
      <color theme="1"/>
      <sz val="11"/>
      <scheme val="minor"/>
    </font>
    <font>
      <name val="Calibri"/>
      <b val="1"/>
      <color rgb="00FFFFFF"/>
      <sz val="10"/>
    </font>
    <font>
      <i val="1"/>
      <color rgb="00888888"/>
      <sz val="9"/>
    </font>
    <font>
      <b val="1"/>
      <color rgb="00D32F2F"/>
    </font>
    <font>
      <b val="1"/>
      <sz val="11"/>
    </font>
    <font>
      <b val="1"/>
    </font>
    <font>
      <i val="1"/>
      <color rgb="00888888"/>
    </font>
    <font>
      <b val="1"/>
      <sz val="12"/>
    </font>
  </fonts>
  <fills count="6">
    <fill>
      <patternFill/>
    </fill>
    <fill>
      <patternFill patternType="gray125"/>
    </fill>
    <fill>
      <patternFill patternType="solid">
        <fgColor rgb="001a1a2e"/>
      </patternFill>
    </fill>
    <fill>
      <patternFill patternType="solid">
        <fgColor rgb="00FFF9C4"/>
      </patternFill>
    </fill>
    <fill>
      <patternFill patternType="solid">
        <fgColor rgb="00E3F2FD"/>
      </patternFill>
    </fill>
    <fill>
      <patternFill patternType="solid">
        <fgColor rgb="00C8E6C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wrapText="1"/>
    </xf>
    <xf numFmtId="0" fontId="2" fillId="0" borderId="0" pivotButton="0" quotePrefix="0" xfId="0"/>
    <xf numFmtId="0" fontId="0" fillId="0" borderId="1" pivotButton="0" quotePrefix="0" xfId="0"/>
    <xf numFmtId="164" fontId="0" fillId="0" borderId="1" pivotButton="0" quotePrefix="0" xfId="0"/>
    <xf numFmtId="164" fontId="3" fillId="0" borderId="1" pivotButton="0" quotePrefix="0" xfId="0"/>
    <xf numFmtId="0" fontId="4" fillId="0" borderId="0" pivotButton="0" quotePrefix="0" xfId="0"/>
    <xf numFmtId="164" fontId="0" fillId="3" borderId="1" pivotButton="0" quotePrefix="0" xfId="0"/>
    <xf numFmtId="0" fontId="5" fillId="4" borderId="1" pivotButton="0" quotePrefix="0" xfId="0"/>
    <xf numFmtId="0" fontId="0" fillId="4" borderId="1" pivotButton="0" quotePrefix="0" xfId="0"/>
    <xf numFmtId="164" fontId="5" fillId="4" borderId="1" pivotButton="0" quotePrefix="0" xfId="0"/>
    <xf numFmtId="0" fontId="6" fillId="0" borderId="1" pivotButton="0" quotePrefix="0" xfId="0"/>
    <xf numFmtId="0" fontId="4" fillId="0" borderId="1" pivotButton="0" quotePrefix="0" xfId="0"/>
    <xf numFmtId="165" fontId="0" fillId="3" borderId="1" pivotButton="0" quotePrefix="0" xfId="0"/>
    <xf numFmtId="0" fontId="0" fillId="5" borderId="1" pivotButton="0" quotePrefix="0" xfId="0"/>
    <xf numFmtId="0" fontId="7"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73e8"/>
    <outlinePr summaryBelow="1" summaryRight="1"/>
    <pageSetUpPr/>
  </sheetPr>
  <dimension ref="A1:E334"/>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14" customWidth="1" min="3" max="3"/>
    <col width="22" customWidth="1" min="4" max="4"/>
    <col width="16" customWidth="1" min="5" max="5"/>
  </cols>
  <sheetData>
    <row r="1">
      <c r="A1" s="1" t="inlineStr">
        <is>
          <t>ID</t>
        </is>
      </c>
      <c r="B1" s="1" t="inlineStr">
        <is>
          <t>Nombre del producto</t>
        </is>
      </c>
      <c r="C1" s="1" t="inlineStr">
        <is>
          <t>Unidad de stock</t>
        </is>
      </c>
      <c r="D1" s="1" t="inlineStr">
        <is>
          <t>Categoría</t>
        </is>
      </c>
      <c r="E1" s="1" t="inlineStr">
        <is>
          <t>Precio/unidad (USD)</t>
        </is>
      </c>
    </row>
    <row r="2">
      <c r="A2" s="2" t="inlineStr">
        <is>
          <t>id</t>
        </is>
      </c>
      <c r="B2" s="2" t="inlineStr">
        <is>
          <t>nombre</t>
        </is>
      </c>
      <c r="C2" s="2" t="inlineStr">
        <is>
          <t>unidad_stock</t>
        </is>
      </c>
      <c r="D2" s="2" t="inlineStr">
        <is>
          <t>categoria</t>
        </is>
      </c>
      <c r="E2" s="2" t="inlineStr">
        <is>
          <t>precio_unit</t>
        </is>
      </c>
    </row>
    <row r="3">
      <c r="A3" s="3" t="inlineStr">
        <is>
          <t>fdd67993</t>
        </is>
      </c>
      <c r="B3" s="3" t="inlineStr">
        <is>
          <t>1250 Margarina</t>
        </is>
      </c>
      <c r="C3" s="3" t="inlineStr">
        <is>
          <t>Unidad</t>
        </is>
      </c>
      <c r="D3" s="3" t="inlineStr">
        <is>
          <t>Insumo Cocina</t>
        </is>
      </c>
      <c r="E3" s="4" t="n">
        <v>9.54899478446602</v>
      </c>
    </row>
    <row r="4">
      <c r="A4" s="3" t="inlineStr">
        <is>
          <t>0b216432</t>
        </is>
      </c>
      <c r="B4" s="3" t="inlineStr">
        <is>
          <t>1250 Tomates</t>
        </is>
      </c>
      <c r="C4" s="3" t="inlineStr">
        <is>
          <t>lata</t>
        </is>
      </c>
      <c r="D4" s="3" t="inlineStr">
        <is>
          <t>Insumo Cocina</t>
        </is>
      </c>
      <c r="E4" s="4" t="n">
        <v>7.07</v>
      </c>
    </row>
    <row r="5">
      <c r="A5" s="3" t="inlineStr">
        <is>
          <t>a75ccc77</t>
        </is>
      </c>
      <c r="B5" s="3" t="inlineStr">
        <is>
          <t>16100 Pepinillos</t>
        </is>
      </c>
      <c r="C5" s="3" t="inlineStr">
        <is>
          <t>Unidad</t>
        </is>
      </c>
      <c r="D5" s="3" t="inlineStr">
        <is>
          <t>Insumo Hamburguesa</t>
        </is>
      </c>
      <c r="E5" s="4" t="n">
        <v>5.74</v>
      </c>
    </row>
    <row r="6">
      <c r="A6" s="3" t="inlineStr">
        <is>
          <t>319db2d5</t>
        </is>
      </c>
      <c r="B6" s="3" t="inlineStr">
        <is>
          <t>2032 Puyazo Gold</t>
        </is>
      </c>
      <c r="C6" s="3" t="inlineStr">
        <is>
          <t>lb</t>
        </is>
      </c>
      <c r="D6" s="3" t="inlineStr">
        <is>
          <t>Insumo Hamburguesa</t>
        </is>
      </c>
      <c r="E6" s="4" t="n">
        <v>7.52</v>
      </c>
    </row>
    <row r="7">
      <c r="A7" s="3" t="inlineStr">
        <is>
          <t>6b97ab93</t>
        </is>
      </c>
      <c r="B7" s="3" t="inlineStr">
        <is>
          <t>228941 Pepinillos</t>
        </is>
      </c>
      <c r="C7" s="3" t="inlineStr">
        <is>
          <t>oz</t>
        </is>
      </c>
      <c r="D7" s="3" t="inlineStr">
        <is>
          <t>Insumo Hamburguesa</t>
        </is>
      </c>
      <c r="E7" s="4" t="n">
        <v>0.137789395426087</v>
      </c>
    </row>
    <row r="8">
      <c r="A8" s="3" t="inlineStr">
        <is>
          <t>3c81b2e3</t>
        </is>
      </c>
      <c r="B8" s="3" t="inlineStr">
        <is>
          <t>239770 MS ppl Aluminio</t>
        </is>
      </c>
      <c r="C8" s="3" t="inlineStr">
        <is>
          <t>unidad</t>
        </is>
      </c>
      <c r="D8" s="3" t="inlineStr">
        <is>
          <t>Insumos</t>
        </is>
      </c>
      <c r="E8" s="4" t="n">
        <v>18.13547198333333</v>
      </c>
    </row>
    <row r="9">
      <c r="A9" s="3" t="inlineStr">
        <is>
          <t>7cfe2552</t>
        </is>
      </c>
      <c r="B9" s="3" t="inlineStr">
        <is>
          <t>275285 Blanco Sol</t>
        </is>
      </c>
      <c r="C9" s="3" t="inlineStr">
        <is>
          <t>Unidad</t>
        </is>
      </c>
      <c r="D9" s="3" t="inlineStr">
        <is>
          <t>Insumo Limpieza</t>
        </is>
      </c>
      <c r="E9" s="4" t="n">
        <v>5.30059</v>
      </c>
    </row>
    <row r="10">
      <c r="A10" s="3" t="inlineStr">
        <is>
          <t>c9d2b671</t>
        </is>
      </c>
      <c r="B10" s="3" t="inlineStr">
        <is>
          <t>278946 Salsa Inglesa</t>
        </is>
      </c>
      <c r="C10" s="3" t="inlineStr">
        <is>
          <t>botella</t>
        </is>
      </c>
      <c r="D10" s="3" t="inlineStr">
        <is>
          <t>Insumo Cocina</t>
        </is>
      </c>
      <c r="E10" s="4" t="n">
        <v>7.07</v>
      </c>
    </row>
    <row r="11">
      <c r="A11" s="3" t="inlineStr">
        <is>
          <t>07869bf2</t>
        </is>
      </c>
      <c r="B11" s="3" t="inlineStr">
        <is>
          <t>30204 Oregano</t>
        </is>
      </c>
      <c r="C11" s="3" t="inlineStr">
        <is>
          <t>g</t>
        </is>
      </c>
      <c r="D11" s="3" t="inlineStr">
        <is>
          <t>Insumo Cocina</t>
        </is>
      </c>
      <c r="E11" s="4" t="n">
        <v>0.03631205673758865</v>
      </c>
    </row>
    <row r="12">
      <c r="A12" s="3" t="inlineStr">
        <is>
          <t>d4c770d4</t>
        </is>
      </c>
      <c r="B12" s="3" t="inlineStr">
        <is>
          <t>324771 MS P. Higienico</t>
        </is>
      </c>
      <c r="C12" s="3" t="inlineStr">
        <is>
          <t>Unidad</t>
        </is>
      </c>
      <c r="D12" s="3" t="inlineStr">
        <is>
          <t>Insumo Limpieza</t>
        </is>
      </c>
      <c r="E12" s="4" t="n">
        <v>12.79</v>
      </c>
    </row>
    <row r="13">
      <c r="A13" s="3" t="inlineStr">
        <is>
          <t>1a82893b</t>
        </is>
      </c>
      <c r="B13" s="3" t="inlineStr">
        <is>
          <t>325026-MCX03621 MC REDSTONE</t>
        </is>
      </c>
      <c r="C13" s="3" t="inlineStr">
        <is>
          <t>Caja</t>
        </is>
      </c>
      <c r="D13" s="3" t="inlineStr">
        <is>
          <t>Insumo Papas</t>
        </is>
      </c>
      <c r="E13" s="4" t="n">
        <v>38</v>
      </c>
    </row>
    <row r="14">
      <c r="A14" s="3" t="inlineStr">
        <is>
          <t>d32fe707</t>
        </is>
      </c>
      <c r="B14" s="3" t="inlineStr">
        <is>
          <t>325052-MCF03788 MCC SCP 3 8</t>
        </is>
      </c>
      <c r="C14" s="3" t="inlineStr">
        <is>
          <t>Caja</t>
        </is>
      </c>
      <c r="D14" s="3" t="inlineStr">
        <is>
          <t>Insumo Extras</t>
        </is>
      </c>
      <c r="E14" s="4" t="n">
        <v>38</v>
      </c>
    </row>
    <row r="15">
      <c r="A15" s="3" t="inlineStr">
        <is>
          <t>2313305e</t>
        </is>
      </c>
      <c r="B15" s="3" t="inlineStr">
        <is>
          <t>325062-70010011  BREW  CITY  BEER</t>
        </is>
      </c>
      <c r="C15" s="3" t="inlineStr">
        <is>
          <t>caja</t>
        </is>
      </c>
      <c r="D15" s="3" t="inlineStr">
        <is>
          <t>Insumos</t>
        </is>
      </c>
      <c r="E15" s="4" t="n">
        <v>8.41</v>
      </c>
    </row>
    <row r="16">
      <c r="A16" s="3" t="inlineStr">
        <is>
          <t>95e81726</t>
        </is>
      </c>
      <c r="B16" s="3" t="inlineStr">
        <is>
          <t>326235 Azucar Morena</t>
        </is>
      </c>
      <c r="C16" s="3" t="inlineStr">
        <is>
          <t>g</t>
        </is>
      </c>
      <c r="D16" s="3" t="inlineStr">
        <is>
          <t>Insumo Extras</t>
        </is>
      </c>
      <c r="E16" s="4" t="n">
        <v>0.0009712684373333334</v>
      </c>
    </row>
    <row r="17">
      <c r="A17" s="3" t="inlineStr">
        <is>
          <t>0162232b</t>
        </is>
      </c>
      <c r="B17" s="3" t="inlineStr">
        <is>
          <t>352613 Jalisco</t>
        </is>
      </c>
      <c r="C17" s="3" t="inlineStr">
        <is>
          <t>Unidad</t>
        </is>
      </c>
      <c r="D17" s="3" t="inlineStr">
        <is>
          <t>Insumo Extras</t>
        </is>
      </c>
      <c r="E17" s="4" t="n">
        <v>13.97</v>
      </c>
    </row>
    <row r="18">
      <c r="A18" s="3" t="inlineStr">
        <is>
          <t>54f4b398</t>
        </is>
      </c>
      <c r="B18" s="3" t="inlineStr">
        <is>
          <t>524550 Ajo Granulado</t>
        </is>
      </c>
      <c r="C18" s="3" t="inlineStr">
        <is>
          <t>g</t>
        </is>
      </c>
      <c r="D18" s="3" t="inlineStr">
        <is>
          <t>Insumo Cocina</t>
        </is>
      </c>
      <c r="E18" s="4" t="n">
        <v>0.01324538351646413</v>
      </c>
    </row>
    <row r="19">
      <c r="A19" s="3" t="inlineStr">
        <is>
          <t>d64329ef</t>
        </is>
      </c>
      <c r="B19" s="3" t="inlineStr">
        <is>
          <t>535 Gran Onion</t>
        </is>
      </c>
      <c r="C19" s="3" t="inlineStr">
        <is>
          <t>g</t>
        </is>
      </c>
      <c r="D19" s="3" t="inlineStr">
        <is>
          <t>Insumo Cocina</t>
        </is>
      </c>
      <c r="E19" s="4" t="n">
        <v>0.00981740718531191</v>
      </c>
    </row>
    <row r="20">
      <c r="A20" s="3" t="inlineStr">
        <is>
          <t>d1bc1f13</t>
        </is>
      </c>
      <c r="B20" s="3" t="inlineStr">
        <is>
          <t>55331 Pimienta Molida</t>
        </is>
      </c>
      <c r="C20" s="3" t="inlineStr">
        <is>
          <t>g</t>
        </is>
      </c>
      <c r="D20" s="3" t="inlineStr">
        <is>
          <t>Insumo Cocina</t>
        </is>
      </c>
      <c r="E20" s="4" t="n">
        <v>0.01980650187834001</v>
      </c>
    </row>
    <row r="21">
      <c r="A21" s="3" t="inlineStr">
        <is>
          <t>eb978497</t>
        </is>
      </c>
      <c r="B21" s="3" t="inlineStr">
        <is>
          <t>55334 MS Paprika</t>
        </is>
      </c>
      <c r="C21" s="3" t="inlineStr">
        <is>
          <t>g</t>
        </is>
      </c>
      <c r="D21" s="3" t="inlineStr">
        <is>
          <t>Insumo Cocina</t>
        </is>
      </c>
      <c r="E21" s="4" t="n">
        <v>0.01012956630628406</v>
      </c>
    </row>
    <row r="22">
      <c r="A22" s="3" t="inlineStr">
        <is>
          <t>8da3cbc8</t>
        </is>
      </c>
      <c r="B22" s="3" t="inlineStr">
        <is>
          <t>732573 MsBolsaBasr</t>
        </is>
      </c>
      <c r="C22" s="3" t="inlineStr">
        <is>
          <t>unidad</t>
        </is>
      </c>
      <c r="D22" s="3" t="inlineStr">
        <is>
          <t>Insumos</t>
        </is>
      </c>
      <c r="E22" s="4" t="n">
        <v>19.15850916538461</v>
      </c>
    </row>
    <row r="23">
      <c r="A23" s="3" t="inlineStr">
        <is>
          <t>874b6cb5</t>
        </is>
      </c>
      <c r="B23" s="3" t="inlineStr">
        <is>
          <t>732575 Bolsas Tcmis</t>
        </is>
      </c>
      <c r="C23" s="3" t="inlineStr">
        <is>
          <t>unidad</t>
        </is>
      </c>
      <c r="D23" s="3" t="inlineStr">
        <is>
          <t>Insumos</t>
        </is>
      </c>
      <c r="E23" s="4" t="n">
        <v>27.79</v>
      </c>
    </row>
    <row r="24">
      <c r="A24" s="3" t="inlineStr">
        <is>
          <t>50d6be28</t>
        </is>
      </c>
      <c r="B24" s="3" t="inlineStr">
        <is>
          <t>732579 MS Bolsas Cocina</t>
        </is>
      </c>
      <c r="C24" s="3" t="inlineStr">
        <is>
          <t>Unidad</t>
        </is>
      </c>
      <c r="D24" s="3" t="inlineStr">
        <is>
          <t>Insumo Limpieza</t>
        </is>
      </c>
      <c r="E24" s="4" t="n">
        <v>21.05</v>
      </c>
    </row>
    <row r="25">
      <c r="A25" s="3" t="inlineStr">
        <is>
          <t>cead73b7</t>
        </is>
      </c>
      <c r="B25" s="3" t="inlineStr">
        <is>
          <t>732584 MS large trash bag</t>
        </is>
      </c>
      <c r="C25" s="3" t="inlineStr">
        <is>
          <t>unidad</t>
        </is>
      </c>
      <c r="D25" s="3" t="inlineStr">
        <is>
          <t>Insumo</t>
        </is>
      </c>
      <c r="E25" s="4" t="n">
        <v>23.99</v>
      </c>
    </row>
    <row r="26">
      <c r="A26" s="3" t="inlineStr">
        <is>
          <t>ac7e0dfe</t>
        </is>
      </c>
      <c r="B26" s="3" t="inlineStr">
        <is>
          <t>781060 MS Mayo</t>
        </is>
      </c>
      <c r="C26" s="3" t="inlineStr">
        <is>
          <t>oz</t>
        </is>
      </c>
      <c r="D26" s="3" t="inlineStr">
        <is>
          <t>Insumo Cocina</t>
        </is>
      </c>
      <c r="E26" s="4" t="n">
        <v>0.0951709519660596</v>
      </c>
    </row>
    <row r="27">
      <c r="A27" s="3" t="inlineStr">
        <is>
          <t>9b41ff0c</t>
        </is>
      </c>
      <c r="B27" s="3" t="inlineStr">
        <is>
          <t>7x11 AZUL FARDO</t>
        </is>
      </c>
      <c r="C27" s="3" t="inlineStr">
        <is>
          <t>unidad</t>
        </is>
      </c>
      <c r="D27" s="3" t="inlineStr">
        <is>
          <t>Insumos</t>
        </is>
      </c>
      <c r="E27" s="4" t="n">
        <v>51.2527</v>
      </c>
    </row>
    <row r="28">
      <c r="A28" s="3" t="inlineStr">
        <is>
          <t>4ae854a5</t>
        </is>
      </c>
      <c r="B28" s="3" t="inlineStr">
        <is>
          <t>921290 Salsa Soya</t>
        </is>
      </c>
      <c r="C28" s="3" t="inlineStr">
        <is>
          <t>galón</t>
        </is>
      </c>
      <c r="D28" s="3" t="inlineStr">
        <is>
          <t>Insumo Cocina</t>
        </is>
      </c>
      <c r="E28" s="4" t="n">
        <v>9.550000000000001</v>
      </c>
    </row>
    <row r="29">
      <c r="A29" s="3" t="inlineStr">
        <is>
          <t>edb297ad</t>
        </is>
      </c>
      <c r="B29" s="3" t="inlineStr">
        <is>
          <t>95816 Mantequilla</t>
        </is>
      </c>
      <c r="C29" s="3" t="inlineStr">
        <is>
          <t>g</t>
        </is>
      </c>
      <c r="D29" s="3" t="inlineStr">
        <is>
          <t>Insumo Cocina</t>
        </is>
      </c>
      <c r="E29" s="4" t="n">
        <v>0.013</v>
      </c>
    </row>
    <row r="30">
      <c r="A30" s="3" t="inlineStr">
        <is>
          <t>2255843a</t>
        </is>
      </c>
      <c r="B30" s="3" t="inlineStr">
        <is>
          <t>9X14 Azul La Econiomica</t>
        </is>
      </c>
      <c r="C30" s="3" t="inlineStr">
        <is>
          <t>Paquete</t>
        </is>
      </c>
      <c r="D30" s="3" t="inlineStr">
        <is>
          <t>Insumo Despacho</t>
        </is>
      </c>
      <c r="E30" s="4" t="n">
        <v>69.0265</v>
      </c>
    </row>
    <row r="31">
      <c r="A31" s="3" t="inlineStr">
        <is>
          <t>1e990560</t>
        </is>
      </c>
      <c r="B31" s="3" t="inlineStr">
        <is>
          <t>AB-BVNT-M620812070 Bolsa de Vacío 8x12x70 mic</t>
        </is>
      </c>
      <c r="C31" s="3" t="inlineStr">
        <is>
          <t>unidad</t>
        </is>
      </c>
      <c r="D31" s="3" t="inlineStr">
        <is>
          <t>Insumos</t>
        </is>
      </c>
      <c r="E31" s="4" t="n">
        <v>39.88</v>
      </c>
    </row>
    <row r="32">
      <c r="A32" s="3" t="inlineStr">
        <is>
          <t>0d732100</t>
        </is>
      </c>
      <c r="B32" s="3" t="inlineStr">
        <is>
          <t>AB-BVNT-M621214070-BOLSA DE VACÍO 12X14X70 mic</t>
        </is>
      </c>
      <c r="C32" s="3" t="inlineStr">
        <is>
          <t>unidad</t>
        </is>
      </c>
      <c r="D32" s="3" t="inlineStr">
        <is>
          <t>Insumos</t>
        </is>
      </c>
      <c r="E32" s="4" t="n">
        <v>69.78727272727272</v>
      </c>
    </row>
    <row r="33">
      <c r="A33" s="3" t="inlineStr">
        <is>
          <t>0c9f41d1</t>
        </is>
      </c>
      <c r="B33" s="3" t="inlineStr">
        <is>
          <t>Aceite Extra Oliva de Trufa BO</t>
        </is>
      </c>
      <c r="C33" s="3" t="inlineStr">
        <is>
          <t>ml</t>
        </is>
      </c>
      <c r="D33" s="3" t="inlineStr">
        <is>
          <t>Insumo Extras</t>
        </is>
      </c>
      <c r="E33" s="4" t="n">
        <v>0.07804</v>
      </c>
    </row>
    <row r="34">
      <c r="A34" s="3" t="inlineStr">
        <is>
          <t>022c053e</t>
        </is>
      </c>
      <c r="B34" s="3" t="inlineStr">
        <is>
          <t>Aceite santa clara 18.75L</t>
        </is>
      </c>
      <c r="C34" s="3" t="inlineStr">
        <is>
          <t>unidad</t>
        </is>
      </c>
      <c r="D34" s="3" t="inlineStr">
        <is>
          <t>Insumo</t>
        </is>
      </c>
      <c r="E34" s="4" t="n">
        <v>32.74</v>
      </c>
    </row>
    <row r="35">
      <c r="A35" s="3" t="inlineStr">
        <is>
          <t>a5018586</t>
        </is>
      </c>
      <c r="B35" s="3" t="inlineStr">
        <is>
          <t>Acido Ascorbico</t>
        </is>
      </c>
      <c r="C35" s="3" t="inlineStr">
        <is>
          <t>kg</t>
        </is>
      </c>
      <c r="D35" s="3" t="inlineStr">
        <is>
          <t>Insumo Hamburguesa</t>
        </is>
      </c>
      <c r="E35" s="4" t="n">
        <v>4.841971428571429</v>
      </c>
    </row>
    <row r="36">
      <c r="A36" s="3" t="inlineStr">
        <is>
          <t>b9d21a17</t>
        </is>
      </c>
      <c r="B36" s="3" t="inlineStr">
        <is>
          <t>Acido Citrico</t>
        </is>
      </c>
      <c r="C36" s="3" t="inlineStr">
        <is>
          <t>g</t>
        </is>
      </c>
      <c r="D36" s="3" t="inlineStr">
        <is>
          <t>Insumo Chili</t>
        </is>
      </c>
      <c r="E36" s="4" t="n">
        <v>0.02165729717813051</v>
      </c>
    </row>
    <row r="37">
      <c r="A37" s="3" t="inlineStr">
        <is>
          <t>81b2add8</t>
        </is>
      </c>
      <c r="B37" s="3" t="inlineStr">
        <is>
          <t>Aderezo Mayo Redu. Lipidos MC 4*3KG</t>
        </is>
      </c>
      <c r="C37" s="3" t="inlineStr">
        <is>
          <t>bolsa</t>
        </is>
      </c>
      <c r="D37" s="3" t="inlineStr">
        <is>
          <t>Insumo Papas</t>
        </is>
      </c>
      <c r="E37" s="4" t="n">
        <v>9.122999999999999</v>
      </c>
    </row>
    <row r="38">
      <c r="A38" s="3" t="inlineStr">
        <is>
          <t>64538c5a</t>
        </is>
      </c>
      <c r="B38" s="3" t="inlineStr">
        <is>
          <t>Adivina la Maraca paquete 20 Unidades</t>
        </is>
      </c>
      <c r="C38" s="3" t="inlineStr">
        <is>
          <t>bolsa</t>
        </is>
      </c>
      <c r="D38" s="3" t="inlineStr">
        <is>
          <t>Extras</t>
        </is>
      </c>
      <c r="E38" s="4" t="n">
        <v>0.045</v>
      </c>
    </row>
    <row r="39">
      <c r="A39" s="3" t="inlineStr">
        <is>
          <t>513099bd</t>
        </is>
      </c>
      <c r="B39" s="3" t="inlineStr">
        <is>
          <t>Adivina la Marca</t>
        </is>
      </c>
      <c r="C39" s="3" t="inlineStr">
        <is>
          <t>porcion</t>
        </is>
      </c>
      <c r="D39" s="3" t="inlineStr">
        <is>
          <t>Producto Terminado</t>
        </is>
      </c>
      <c r="E39" s="5" t="n">
        <v>0</v>
      </c>
    </row>
    <row r="40">
      <c r="A40" s="3" t="inlineStr">
        <is>
          <t>5b8f64a7</t>
        </is>
      </c>
      <c r="B40" s="3" t="inlineStr">
        <is>
          <t>Agrandado Soda y Papa</t>
        </is>
      </c>
      <c r="C40" s="3" t="inlineStr">
        <is>
          <t>porcion</t>
        </is>
      </c>
      <c r="D40" s="3" t="inlineStr">
        <is>
          <t>Producto Terminado</t>
        </is>
      </c>
      <c r="E40" s="5" t="n">
        <v>0</v>
      </c>
    </row>
    <row r="41">
      <c r="A41" s="3" t="inlineStr">
        <is>
          <t>709d26a7</t>
        </is>
      </c>
      <c r="B41" s="3" t="inlineStr">
        <is>
          <t>Agua Mineral Kinley Club Soda Lata 354ml</t>
        </is>
      </c>
      <c r="C41" s="3" t="inlineStr">
        <is>
          <t>unidad</t>
        </is>
      </c>
      <c r="D41" s="3" t="inlineStr">
        <is>
          <t>Bebidas</t>
        </is>
      </c>
      <c r="E41" s="4" t="n">
        <v>0.535990990990991</v>
      </c>
    </row>
    <row r="42">
      <c r="A42" s="3" t="inlineStr">
        <is>
          <t>dfc00d88</t>
        </is>
      </c>
      <c r="B42" s="3" t="inlineStr">
        <is>
          <t>Ajax Tricolor bote</t>
        </is>
      </c>
      <c r="C42" s="3" t="inlineStr">
        <is>
          <t>bote</t>
        </is>
      </c>
      <c r="D42" s="3" t="inlineStr">
        <is>
          <t>Utensilios de Limpieza</t>
        </is>
      </c>
      <c r="E42" s="4" t="n">
        <v>4.8584071</v>
      </c>
    </row>
    <row r="43">
      <c r="A43" s="3" t="inlineStr">
        <is>
          <t>442a8bbd</t>
        </is>
      </c>
      <c r="B43" s="3" t="inlineStr">
        <is>
          <t>ALCOHOL GEL -1 GLN</t>
        </is>
      </c>
      <c r="C43" s="3" t="inlineStr">
        <is>
          <t>unidad</t>
        </is>
      </c>
      <c r="D43" s="3" t="inlineStr">
        <is>
          <t>Insumos</t>
        </is>
      </c>
      <c r="E43" s="4" t="n">
        <v>23</v>
      </c>
    </row>
    <row r="44">
      <c r="A44" s="3" t="inlineStr">
        <is>
          <t>ccfe5d14</t>
        </is>
      </c>
      <c r="B44" s="3" t="inlineStr">
        <is>
          <t>Aros de Cebolla porción</t>
        </is>
      </c>
      <c r="C44" s="3" t="inlineStr">
        <is>
          <t>porcion</t>
        </is>
      </c>
      <c r="D44" s="3" t="inlineStr">
        <is>
          <t>Producto Terminado</t>
        </is>
      </c>
      <c r="E44" s="5" t="n">
        <v>0</v>
      </c>
    </row>
    <row r="45">
      <c r="A45" s="3" t="inlineStr">
        <is>
          <t>d8243201</t>
        </is>
      </c>
      <c r="B45" s="3" t="inlineStr">
        <is>
          <t>Aros de cebolla unidad</t>
        </is>
      </c>
      <c r="C45" s="3" t="inlineStr">
        <is>
          <t>porcion</t>
        </is>
      </c>
      <c r="D45" s="3" t="inlineStr">
        <is>
          <t>Papas y Congelados</t>
        </is>
      </c>
      <c r="E45" s="4" t="n">
        <v>0.2002380952380952</v>
      </c>
    </row>
    <row r="46">
      <c r="A46" s="3" t="inlineStr">
        <is>
          <t>dcecf65c</t>
        </is>
      </c>
      <c r="B46" s="3" t="inlineStr">
        <is>
          <t>Asado de Tira Corte Argentino</t>
        </is>
      </c>
      <c r="C46" s="3" t="inlineStr">
        <is>
          <t>lb</t>
        </is>
      </c>
      <c r="D46" s="3" t="inlineStr">
        <is>
          <t>Insumo Hamburguesa</t>
        </is>
      </c>
      <c r="E46" s="4" t="n">
        <v>5</v>
      </c>
    </row>
    <row r="47">
      <c r="A47" s="3" t="inlineStr">
        <is>
          <t>e7fc2d6d</t>
        </is>
      </c>
      <c r="B47" s="3" t="inlineStr">
        <is>
          <t>Bandejas café caja 500 unidades</t>
        </is>
      </c>
      <c r="C47" s="3" t="inlineStr">
        <is>
          <t>caja</t>
        </is>
      </c>
      <c r="D47" s="3" t="inlineStr">
        <is>
          <t>Empaques y Desechables</t>
        </is>
      </c>
      <c r="E47" s="5" t="n">
        <v>0</v>
      </c>
    </row>
    <row r="48">
      <c r="A48" s="3" t="inlineStr">
        <is>
          <t>f997cb1f</t>
        </is>
      </c>
      <c r="B48" s="3" t="inlineStr">
        <is>
          <t>Bandejas Eco. 2p Kraft fsc mix</t>
        </is>
      </c>
      <c r="C48" s="3" t="inlineStr">
        <is>
          <t>unidad</t>
        </is>
      </c>
      <c r="D48" s="3" t="inlineStr">
        <is>
          <t>Insumos</t>
        </is>
      </c>
      <c r="E48" s="4" t="n">
        <v>0.07137975037971341</v>
      </c>
    </row>
    <row r="49">
      <c r="A49" s="3" t="inlineStr">
        <is>
          <t>056552f5</t>
        </is>
      </c>
      <c r="B49" s="3" t="inlineStr">
        <is>
          <t>Bandejas Negras 8x5 fardo 200 unidades</t>
        </is>
      </c>
      <c r="C49" s="3" t="inlineStr">
        <is>
          <t>fardo</t>
        </is>
      </c>
      <c r="D49" s="3" t="inlineStr">
        <is>
          <t>Empaques y Desechables</t>
        </is>
      </c>
      <c r="E49" s="4" t="n">
        <v>0.075</v>
      </c>
    </row>
    <row r="50">
      <c r="A50" s="3" t="inlineStr">
        <is>
          <t>c926b311</t>
        </is>
      </c>
      <c r="B50" s="3" t="inlineStr">
        <is>
          <t>BBQ caja 4 bolsas</t>
        </is>
      </c>
      <c r="C50" s="3" t="inlineStr">
        <is>
          <t>caja</t>
        </is>
      </c>
      <c r="D50" s="3" t="inlineStr">
        <is>
          <t>Salsas y Aderezos</t>
        </is>
      </c>
      <c r="E50" s="5" t="n">
        <v>0</v>
      </c>
    </row>
    <row r="51">
      <c r="A51" s="3" t="inlineStr">
        <is>
          <t>cb1f0f3a</t>
        </is>
      </c>
      <c r="B51" s="3" t="inlineStr">
        <is>
          <t>Bionis YE 38 (saco 20 kg)</t>
        </is>
      </c>
      <c r="C51" s="3" t="inlineStr">
        <is>
          <t>g</t>
        </is>
      </c>
      <c r="D51" s="3" t="inlineStr">
        <is>
          <t>Insumo Hamburguesa</t>
        </is>
      </c>
      <c r="E51" s="4" t="n">
        <v>0.01</v>
      </c>
    </row>
    <row r="52">
      <c r="A52" s="3" t="inlineStr">
        <is>
          <t>47da031b</t>
        </is>
      </c>
      <c r="B52" s="3" t="inlineStr">
        <is>
          <t>Bolsa azul fardo 9x14</t>
        </is>
      </c>
      <c r="C52" s="3" t="inlineStr">
        <is>
          <t>paquete</t>
        </is>
      </c>
      <c r="D52" s="3" t="inlineStr">
        <is>
          <t>Desechables</t>
        </is>
      </c>
      <c r="E52" s="4" t="n">
        <v>69.91066666666667</v>
      </c>
    </row>
    <row r="53">
      <c r="A53" s="3" t="inlineStr">
        <is>
          <t>27ce7f92</t>
        </is>
      </c>
      <c r="B53" s="3" t="inlineStr">
        <is>
          <t>Bolsa de 3 libras 7x11 500 unidades</t>
        </is>
      </c>
      <c r="C53" s="3" t="inlineStr">
        <is>
          <t>paquete</t>
        </is>
      </c>
      <c r="D53" s="3" t="inlineStr">
        <is>
          <t>Empaques y Desechables</t>
        </is>
      </c>
      <c r="E53" s="5" t="n">
        <v>0</v>
      </c>
    </row>
    <row r="54">
      <c r="A54" s="3" t="inlineStr">
        <is>
          <t>9d225295</t>
        </is>
      </c>
      <c r="B54" s="3" t="inlineStr">
        <is>
          <t>Bolsa de 5 libras 9x14 azules 500 unidades</t>
        </is>
      </c>
      <c r="C54" s="3" t="inlineStr">
        <is>
          <t>paquete</t>
        </is>
      </c>
      <c r="D54" s="3" t="inlineStr">
        <is>
          <t>Empaques y Desechables</t>
        </is>
      </c>
      <c r="E54" s="5" t="n">
        <v>0</v>
      </c>
    </row>
    <row r="55">
      <c r="A55" s="3" t="inlineStr">
        <is>
          <t>0d384447</t>
        </is>
      </c>
      <c r="B55" s="3" t="inlineStr">
        <is>
          <t>Bolsa de charamusca 500 unidades</t>
        </is>
      </c>
      <c r="C55" s="3" t="inlineStr">
        <is>
          <t>paquete</t>
        </is>
      </c>
      <c r="D55" s="3" t="inlineStr">
        <is>
          <t>Empaques y Desechables</t>
        </is>
      </c>
      <c r="E55" s="5" t="n">
        <v>0</v>
      </c>
    </row>
    <row r="56">
      <c r="A56" s="3" t="inlineStr">
        <is>
          <t>5453c229</t>
        </is>
      </c>
      <c r="B56" s="3" t="inlineStr">
        <is>
          <t>Bolsa de gabacha blanca</t>
        </is>
      </c>
      <c r="C56" s="3" t="inlineStr">
        <is>
          <t>unidad</t>
        </is>
      </c>
      <c r="D56" s="3" t="inlineStr">
        <is>
          <t>Insumos</t>
        </is>
      </c>
      <c r="E56" s="4" t="n">
        <v>11.06</v>
      </c>
    </row>
    <row r="57">
      <c r="A57" s="3" t="inlineStr">
        <is>
          <t>ec528b36</t>
        </is>
      </c>
      <c r="B57" s="3" t="inlineStr">
        <is>
          <t>Bolsa de gabacha Blanca caja 1000 unidades</t>
        </is>
      </c>
      <c r="C57" s="3" t="inlineStr">
        <is>
          <t>caja</t>
        </is>
      </c>
      <c r="D57" s="3" t="inlineStr">
        <is>
          <t>Empaques y Desechables</t>
        </is>
      </c>
      <c r="E57" s="4" t="n">
        <v>0.03407074444444445</v>
      </c>
    </row>
    <row r="58">
      <c r="A58" s="3" t="inlineStr">
        <is>
          <t>a947a14d</t>
        </is>
      </c>
      <c r="B58" s="3" t="inlineStr">
        <is>
          <t>Bolsa de hielo 5 lbs</t>
        </is>
      </c>
      <c r="C58" s="3" t="inlineStr">
        <is>
          <t>bolsa</t>
        </is>
      </c>
      <c r="D58" s="3" t="inlineStr">
        <is>
          <t>Papas y Congelados</t>
        </is>
      </c>
      <c r="E58" s="4" t="n">
        <v>8.407080000000001</v>
      </c>
    </row>
    <row r="59">
      <c r="A59" s="3" t="inlineStr">
        <is>
          <t>cc5a70c6</t>
        </is>
      </c>
      <c r="B59" s="3" t="inlineStr">
        <is>
          <t>Bolsa transparente para basura caja 500 unidades</t>
        </is>
      </c>
      <c r="C59" s="3" t="inlineStr">
        <is>
          <t>caja</t>
        </is>
      </c>
      <c r="D59" s="3" t="inlineStr">
        <is>
          <t>Empaques y Desechables</t>
        </is>
      </c>
      <c r="E59" s="5" t="n">
        <v>0</v>
      </c>
    </row>
    <row r="60">
      <c r="A60" s="3" t="inlineStr">
        <is>
          <t>c393944f</t>
        </is>
      </c>
      <c r="B60" s="3" t="inlineStr">
        <is>
          <t>Bolsa verde de 3x8</t>
        </is>
      </c>
      <c r="C60" s="3" t="inlineStr">
        <is>
          <t>paquete</t>
        </is>
      </c>
      <c r="D60" s="3" t="inlineStr">
        <is>
          <t>Desechables</t>
        </is>
      </c>
      <c r="E60" s="4" t="n">
        <v>84.06999999999999</v>
      </c>
    </row>
    <row r="61">
      <c r="A61" s="3" t="inlineStr">
        <is>
          <t>0345099d</t>
        </is>
      </c>
      <c r="B61" s="3" t="inlineStr">
        <is>
          <t>Bolsas #12 Freakie Dogs</t>
        </is>
      </c>
      <c r="C61" s="3" t="inlineStr">
        <is>
          <t>Unidad</t>
        </is>
      </c>
      <c r="D61" s="3" t="inlineStr">
        <is>
          <t>Insumo Despacho</t>
        </is>
      </c>
      <c r="E61" s="4" t="n">
        <v>0.05151363180450443</v>
      </c>
    </row>
    <row r="62">
      <c r="A62" s="3" t="inlineStr">
        <is>
          <t>5407b468</t>
        </is>
      </c>
      <c r="B62" s="3" t="inlineStr">
        <is>
          <t>Bolsas brandeadas caja 1700 unidades</t>
        </is>
      </c>
      <c r="C62" s="3" t="inlineStr">
        <is>
          <t>unidad</t>
        </is>
      </c>
      <c r="D62" s="3" t="inlineStr">
        <is>
          <t>Empaques y Desechables</t>
        </is>
      </c>
      <c r="E62" s="4" t="n">
        <v>0.05</v>
      </c>
    </row>
    <row r="63">
      <c r="A63" s="3" t="inlineStr">
        <is>
          <t>1be6ddcf</t>
        </is>
      </c>
      <c r="B63" s="3" t="inlineStr">
        <is>
          <t>Bolsas para basura blanca caja 160 unidades</t>
        </is>
      </c>
      <c r="C63" s="3" t="inlineStr">
        <is>
          <t>caja</t>
        </is>
      </c>
      <c r="D63" s="3" t="inlineStr">
        <is>
          <t>Empaques y Desechables</t>
        </is>
      </c>
      <c r="E63" s="5" t="n">
        <v>0</v>
      </c>
    </row>
    <row r="64">
      <c r="A64" s="3" t="inlineStr">
        <is>
          <t>b1bd5499</t>
        </is>
      </c>
      <c r="B64" s="3" t="inlineStr">
        <is>
          <t>Bolsas para basura negras caja 80 unidades</t>
        </is>
      </c>
      <c r="C64" s="3" t="inlineStr">
        <is>
          <t>caja</t>
        </is>
      </c>
      <c r="D64" s="3" t="inlineStr">
        <is>
          <t>Empaques y Desechables</t>
        </is>
      </c>
      <c r="E64" s="5" t="n">
        <v>0</v>
      </c>
    </row>
    <row r="65">
      <c r="A65" s="3" t="inlineStr">
        <is>
          <t>ebed87c7</t>
        </is>
      </c>
      <c r="B65" s="3" t="inlineStr">
        <is>
          <t>Bonificación Aceite bidón</t>
        </is>
      </c>
      <c r="C65" s="3" t="inlineStr">
        <is>
          <t>unidad</t>
        </is>
      </c>
      <c r="D65" s="3" t="inlineStr">
        <is>
          <t>Insumo</t>
        </is>
      </c>
      <c r="E65" s="4" t="n">
        <v>32.74</v>
      </c>
    </row>
    <row r="66">
      <c r="A66" s="3" t="inlineStr">
        <is>
          <t>2f0e07d9</t>
        </is>
      </c>
      <c r="B66" s="3" t="inlineStr">
        <is>
          <t>Brisket</t>
        </is>
      </c>
      <c r="C66" s="3" t="inlineStr">
        <is>
          <t>lb</t>
        </is>
      </c>
      <c r="D66" s="3" t="inlineStr">
        <is>
          <t>Insumo</t>
        </is>
      </c>
      <c r="E66" s="4" t="n">
        <v>4.568967741935483</v>
      </c>
    </row>
    <row r="67">
      <c r="A67" s="3" t="inlineStr">
        <is>
          <t>8b57ebb0</t>
        </is>
      </c>
      <c r="B67" s="3" t="inlineStr">
        <is>
          <t>Bucket Hat Freakie</t>
        </is>
      </c>
      <c r="C67" s="3" t="inlineStr">
        <is>
          <t>unidad</t>
        </is>
      </c>
      <c r="D67" s="3" t="inlineStr">
        <is>
          <t>Merchandising</t>
        </is>
      </c>
      <c r="E67" s="4" t="n">
        <v>10</v>
      </c>
    </row>
    <row r="68">
      <c r="A68" s="3" t="inlineStr">
        <is>
          <t>dbfa4ed5</t>
        </is>
      </c>
      <c r="B68" s="3" t="inlineStr">
        <is>
          <t>Bulto de repollo</t>
        </is>
      </c>
      <c r="C68" s="3" t="inlineStr">
        <is>
          <t>unidad</t>
        </is>
      </c>
      <c r="D68" s="3" t="inlineStr">
        <is>
          <t>Insumo</t>
        </is>
      </c>
      <c r="E68" s="4" t="n">
        <v>30.828125</v>
      </c>
    </row>
    <row r="69">
      <c r="A69" s="3" t="inlineStr">
        <is>
          <t>730343d8</t>
        </is>
      </c>
      <c r="B69" s="3" t="inlineStr">
        <is>
          <t>Bultos de repollo</t>
        </is>
      </c>
      <c r="C69" s="3" t="inlineStr">
        <is>
          <t>unidad</t>
        </is>
      </c>
      <c r="D69" s="3" t="inlineStr">
        <is>
          <t>Insumo Hotdog</t>
        </is>
      </c>
      <c r="E69" s="4" t="n">
        <v>2.072727272727273</v>
      </c>
    </row>
    <row r="70">
      <c r="A70" s="3" t="inlineStr">
        <is>
          <t>b2e152e8</t>
        </is>
      </c>
      <c r="B70" s="3" t="inlineStr">
        <is>
          <t>Burger Box</t>
        </is>
      </c>
      <c r="C70" s="3" t="inlineStr">
        <is>
          <t>porcion</t>
        </is>
      </c>
      <c r="D70" s="3" t="inlineStr">
        <is>
          <t>Producto Terminado</t>
        </is>
      </c>
      <c r="E70" s="5" t="n">
        <v>0</v>
      </c>
    </row>
    <row r="71">
      <c r="A71" s="3" t="inlineStr">
        <is>
          <t>8fe92592</t>
        </is>
      </c>
      <c r="B71" s="3" t="inlineStr">
        <is>
          <t>Caja de redecillas Nylon 144 unid.</t>
        </is>
      </c>
      <c r="C71" s="3" t="inlineStr">
        <is>
          <t>unidad</t>
        </is>
      </c>
      <c r="D71" s="3" t="inlineStr">
        <is>
          <t>Insumos</t>
        </is>
      </c>
      <c r="E71" s="4" t="n">
        <v>0.09930555555555555</v>
      </c>
    </row>
    <row r="72">
      <c r="A72" s="3" t="inlineStr">
        <is>
          <t>fadefb7e</t>
        </is>
      </c>
      <c r="B72" s="3" t="inlineStr">
        <is>
          <t>Caja Salsa Picante (roja) Premium con viñeta del Cliente</t>
        </is>
      </c>
      <c r="C72" s="3" t="inlineStr">
        <is>
          <t>caja</t>
        </is>
      </c>
      <c r="D72" s="3" t="inlineStr">
        <is>
          <t>Insumos</t>
        </is>
      </c>
      <c r="E72" s="4" t="n">
        <v>53.1</v>
      </c>
    </row>
    <row r="73">
      <c r="A73" s="3" t="inlineStr">
        <is>
          <t>adfe6b39</t>
        </is>
      </c>
      <c r="B73" s="3" t="inlineStr">
        <is>
          <t>Cajitas de papas para armar caja 4500 unidades</t>
        </is>
      </c>
      <c r="C73" s="3" t="inlineStr">
        <is>
          <t>caja</t>
        </is>
      </c>
      <c r="D73" s="3" t="inlineStr">
        <is>
          <t>Empaques y Desechables</t>
        </is>
      </c>
      <c r="E73" s="4" t="n">
        <v>0.045134</v>
      </c>
    </row>
    <row r="74">
      <c r="A74" s="3" t="inlineStr">
        <is>
          <t>6b3f0a1a</t>
        </is>
      </c>
      <c r="B74" s="3" t="inlineStr">
        <is>
          <t>Caldo de Res en Polvo</t>
        </is>
      </c>
      <c r="C74" s="3" t="inlineStr">
        <is>
          <t>cucharada</t>
        </is>
      </c>
      <c r="D74" s="3" t="inlineStr">
        <is>
          <t>Insumo Cocina</t>
        </is>
      </c>
      <c r="E74" s="5" t="n">
        <v>0</v>
      </c>
    </row>
    <row r="75">
      <c r="A75" s="3" t="inlineStr">
        <is>
          <t>dc013e01</t>
        </is>
      </c>
      <c r="B75" s="3" t="inlineStr">
        <is>
          <t>Carne Boleada</t>
        </is>
      </c>
      <c r="C75" s="3" t="inlineStr">
        <is>
          <t>unidad</t>
        </is>
      </c>
      <c r="D75" s="3" t="inlineStr">
        <is>
          <t>Sub Producto</t>
        </is>
      </c>
      <c r="E75" s="5" t="n">
        <v>0</v>
      </c>
    </row>
    <row r="76">
      <c r="A76" s="3" t="inlineStr">
        <is>
          <t>f63f1b39</t>
        </is>
      </c>
      <c r="B76" s="3" t="inlineStr">
        <is>
          <t>Carne Molida Fina 75:25 CAB</t>
        </is>
      </c>
      <c r="C76" s="3" t="inlineStr">
        <is>
          <t>lb</t>
        </is>
      </c>
      <c r="D76" s="3" t="inlineStr">
        <is>
          <t>Insumo Hamburguesa</t>
        </is>
      </c>
      <c r="E76" s="4" t="n">
        <v>4.85</v>
      </c>
    </row>
    <row r="77">
      <c r="A77" s="3" t="inlineStr">
        <is>
          <t>79513e24</t>
        </is>
      </c>
      <c r="B77" s="3" t="inlineStr">
        <is>
          <t>Carne para hamburguesa</t>
        </is>
      </c>
      <c r="C77" s="3" t="inlineStr">
        <is>
          <t>unidad</t>
        </is>
      </c>
      <c r="D77" s="3" t="inlineStr">
        <is>
          <t>Carnes y Complementos</t>
        </is>
      </c>
      <c r="E77" s="5" t="n">
        <v>0</v>
      </c>
    </row>
    <row r="78">
      <c r="A78" s="3" t="inlineStr">
        <is>
          <t>39946903</t>
        </is>
      </c>
      <c r="B78" s="3" t="inlineStr">
        <is>
          <t>Cebolla Blanca</t>
        </is>
      </c>
      <c r="C78" s="3" t="inlineStr">
        <is>
          <t>bolsa</t>
        </is>
      </c>
      <c r="D78" s="3" t="inlineStr">
        <is>
          <t>Sub Producto</t>
        </is>
      </c>
      <c r="E78" s="5" t="n">
        <v>0</v>
      </c>
    </row>
    <row r="79">
      <c r="A79" s="3" t="inlineStr">
        <is>
          <t>9b7863ce</t>
        </is>
      </c>
      <c r="B79" s="3" t="inlineStr">
        <is>
          <t>Cebolla bolsa</t>
        </is>
      </c>
      <c r="C79" s="3" t="inlineStr">
        <is>
          <t>bolsa</t>
        </is>
      </c>
      <c r="D79" s="3" t="inlineStr">
        <is>
          <t>Vegetales y Verduras</t>
        </is>
      </c>
      <c r="E79" s="5" t="n">
        <v>0</v>
      </c>
    </row>
    <row r="80">
      <c r="A80" s="3" t="inlineStr">
        <is>
          <t>cde56894</t>
        </is>
      </c>
      <c r="B80" s="3" t="inlineStr">
        <is>
          <t>Cebolla chopped Granulada .</t>
        </is>
      </c>
      <c r="C80" s="3" t="inlineStr">
        <is>
          <t>unidad</t>
        </is>
      </c>
      <c r="D80" s="3" t="inlineStr">
        <is>
          <t>Insumos</t>
        </is>
      </c>
      <c r="E80" s="4" t="n">
        <v>2.96</v>
      </c>
    </row>
    <row r="81">
      <c r="A81" s="3" t="inlineStr">
        <is>
          <t>01c237e6</t>
        </is>
      </c>
      <c r="B81" s="3" t="inlineStr">
        <is>
          <t>Cebolla Morada</t>
        </is>
      </c>
      <c r="C81" s="3" t="inlineStr">
        <is>
          <t>tanda</t>
        </is>
      </c>
      <c r="D81" s="3" t="inlineStr">
        <is>
          <t>Sub Producto</t>
        </is>
      </c>
      <c r="E81" s="5" t="n">
        <v>0</v>
      </c>
    </row>
    <row r="82">
      <c r="A82" s="3" t="inlineStr">
        <is>
          <t>8715bcce</t>
        </is>
      </c>
      <c r="B82" s="3" t="inlineStr">
        <is>
          <t>Cebolla morada (saco 50 lb)</t>
        </is>
      </c>
      <c r="C82" s="3" t="inlineStr">
        <is>
          <t>lb</t>
        </is>
      </c>
      <c r="D82" s="3" t="inlineStr">
        <is>
          <t>Insumo Hamburguesa</t>
        </is>
      </c>
      <c r="E82" s="4" t="n">
        <v>0.540759493670886</v>
      </c>
    </row>
    <row r="83">
      <c r="A83" s="3" t="inlineStr">
        <is>
          <t>22f96e6d</t>
        </is>
      </c>
      <c r="B83" s="3" t="inlineStr">
        <is>
          <t>Cebolla Roja</t>
        </is>
      </c>
      <c r="C83" s="3" t="inlineStr">
        <is>
          <t>saco</t>
        </is>
      </c>
      <c r="D83" s="3" t="inlineStr">
        <is>
          <t>Insumo Hamburguesa</t>
        </is>
      </c>
      <c r="E83" s="4" t="n">
        <v>23.01</v>
      </c>
    </row>
    <row r="84">
      <c r="A84" s="3" t="inlineStr">
        <is>
          <t>834e6b7f</t>
        </is>
      </c>
      <c r="B84" s="3" t="inlineStr">
        <is>
          <t>Cebollas Blancas</t>
        </is>
      </c>
      <c r="C84" s="3" t="inlineStr">
        <is>
          <t>unidad</t>
        </is>
      </c>
      <c r="D84" s="3" t="inlineStr">
        <is>
          <t>Insumo Hotdog</t>
        </is>
      </c>
      <c r="E84" s="4" t="n">
        <v>0.581391304347826</v>
      </c>
    </row>
    <row r="85">
      <c r="A85" s="3" t="inlineStr">
        <is>
          <t>d65c1bd3</t>
        </is>
      </c>
      <c r="B85" s="3" t="inlineStr">
        <is>
          <t>Cerveza Corona Cero VNR 355ml</t>
        </is>
      </c>
      <c r="C85" s="3" t="inlineStr">
        <is>
          <t>unidad</t>
        </is>
      </c>
      <c r="D85" s="3" t="inlineStr">
        <is>
          <t>Bebidas</t>
        </is>
      </c>
      <c r="E85" s="4" t="n">
        <v>1.445833333333333</v>
      </c>
    </row>
    <row r="86">
      <c r="A86" s="3" t="inlineStr">
        <is>
          <t>66d74409</t>
        </is>
      </c>
      <c r="B86" s="3" t="inlineStr">
        <is>
          <t>Cerveza Corona Extra VNR 330ml</t>
        </is>
      </c>
      <c r="C86" s="3" t="inlineStr">
        <is>
          <t>unidad</t>
        </is>
      </c>
      <c r="D86" s="3" t="inlineStr">
        <is>
          <t>Bebidas</t>
        </is>
      </c>
      <c r="E86" s="4" t="n">
        <v>1.445833333333333</v>
      </c>
    </row>
    <row r="87">
      <c r="A87" s="3" t="inlineStr">
        <is>
          <t>fa501ef9</t>
        </is>
      </c>
      <c r="B87" s="3" t="inlineStr">
        <is>
          <t>Cerveza Golden VR 292ml</t>
        </is>
      </c>
      <c r="C87" s="3" t="inlineStr">
        <is>
          <t>unidad</t>
        </is>
      </c>
      <c r="D87" s="3" t="inlineStr">
        <is>
          <t>Bebidas</t>
        </is>
      </c>
      <c r="E87" s="4" t="n">
        <v>0.8583333333333333</v>
      </c>
    </row>
    <row r="88">
      <c r="A88" s="3" t="inlineStr">
        <is>
          <t>8f97525d</t>
        </is>
      </c>
      <c r="B88" s="3" t="inlineStr">
        <is>
          <t>Cerveza Michelob Ultra VNR 355ml</t>
        </is>
      </c>
      <c r="C88" s="3" t="inlineStr">
        <is>
          <t>unidad</t>
        </is>
      </c>
      <c r="D88" s="3" t="inlineStr">
        <is>
          <t>Bebidas</t>
        </is>
      </c>
      <c r="E88" s="4" t="n">
        <v>1.277731712962963</v>
      </c>
    </row>
    <row r="89">
      <c r="A89" s="3" t="inlineStr">
        <is>
          <t>50525889</t>
        </is>
      </c>
      <c r="B89" s="3" t="inlineStr">
        <is>
          <t>Cerveza Modelo VNR 355ml</t>
        </is>
      </c>
      <c r="C89" s="3" t="inlineStr">
        <is>
          <t>unidad</t>
        </is>
      </c>
      <c r="D89" s="3" t="inlineStr">
        <is>
          <t>Bebidas</t>
        </is>
      </c>
      <c r="E89" s="4" t="n">
        <v>1.2375</v>
      </c>
    </row>
    <row r="90">
      <c r="A90" s="3" t="inlineStr">
        <is>
          <t>0bcfdd1f</t>
        </is>
      </c>
      <c r="B90" s="3" t="inlineStr">
        <is>
          <t>Cerveza Pilsener Cabuda VR 1.2L</t>
        </is>
      </c>
      <c r="C90" s="3" t="inlineStr">
        <is>
          <t>unidad</t>
        </is>
      </c>
      <c r="D90" s="3" t="inlineStr">
        <is>
          <t>Bebidas</t>
        </is>
      </c>
      <c r="E90" s="4" t="n">
        <v>2.242678571428571</v>
      </c>
    </row>
    <row r="91">
      <c r="A91" s="3" t="inlineStr">
        <is>
          <t>d1e36449</t>
        </is>
      </c>
      <c r="B91" s="3" t="inlineStr">
        <is>
          <t>Cerveza Pilsener VR 330ml</t>
        </is>
      </c>
      <c r="C91" s="3" t="inlineStr">
        <is>
          <t>unidad</t>
        </is>
      </c>
      <c r="D91" s="3" t="inlineStr">
        <is>
          <t>Bebidas</t>
        </is>
      </c>
      <c r="E91" s="4" t="n">
        <v>0.8583333333333333</v>
      </c>
    </row>
    <row r="92">
      <c r="A92" s="3" t="inlineStr">
        <is>
          <t>bf101737</t>
        </is>
      </c>
      <c r="B92" s="3" t="inlineStr">
        <is>
          <t>Cerveza Pilsener VR 750ml</t>
        </is>
      </c>
      <c r="C92" s="3" t="inlineStr">
        <is>
          <t>unidad</t>
        </is>
      </c>
      <c r="D92" s="3" t="inlineStr">
        <is>
          <t>Bebidas</t>
        </is>
      </c>
      <c r="E92" s="4" t="n">
        <v>1.683333333333333</v>
      </c>
    </row>
    <row r="93">
      <c r="A93" s="3" t="inlineStr">
        <is>
          <t>fa808d50</t>
        </is>
      </c>
      <c r="B93" s="3" t="inlineStr">
        <is>
          <t>Cerveza Regia VR 750ml</t>
        </is>
      </c>
      <c r="C93" s="3" t="inlineStr">
        <is>
          <t>unidad</t>
        </is>
      </c>
      <c r="D93" s="3" t="inlineStr">
        <is>
          <t>Bebidas</t>
        </is>
      </c>
      <c r="E93" s="4" t="n">
        <v>1.622426086956522</v>
      </c>
    </row>
    <row r="94">
      <c r="A94" s="3" t="inlineStr">
        <is>
          <t>ecefa37d</t>
        </is>
      </c>
      <c r="B94" s="3" t="inlineStr">
        <is>
          <t>Cheddar Lata</t>
        </is>
      </c>
      <c r="C94" s="3" t="inlineStr">
        <is>
          <t>lata</t>
        </is>
      </c>
      <c r="D94" s="3" t="inlineStr">
        <is>
          <t>Salsas y Aderezos</t>
        </is>
      </c>
      <c r="E94" s="4" t="n">
        <v>10.3451327</v>
      </c>
    </row>
    <row r="95">
      <c r="A95" s="3" t="inlineStr">
        <is>
          <t>648e4f72</t>
        </is>
      </c>
      <c r="B95" s="3" t="inlineStr">
        <is>
          <t>Cheddar Porcionado</t>
        </is>
      </c>
      <c r="C95" s="3" t="inlineStr">
        <is>
          <t>bolsa</t>
        </is>
      </c>
      <c r="D95" s="3" t="inlineStr">
        <is>
          <t>Sub Producto</t>
        </is>
      </c>
      <c r="E95" s="5" t="n">
        <v>0</v>
      </c>
    </row>
    <row r="96">
      <c r="A96" s="3" t="inlineStr">
        <is>
          <t>2b8dc38f</t>
        </is>
      </c>
      <c r="B96" s="3" t="inlineStr">
        <is>
          <t>Cheesecake Ailyn (pastel entero, 10 porciones)</t>
        </is>
      </c>
      <c r="C96" s="3" t="inlineStr">
        <is>
          <t>porcion</t>
        </is>
      </c>
      <c r="D96" s="3" t="inlineStr">
        <is>
          <t>Insumo Postres</t>
        </is>
      </c>
      <c r="E96" s="4" t="n">
        <v>25</v>
      </c>
    </row>
    <row r="97">
      <c r="A97" s="3" t="inlineStr">
        <is>
          <t>95c10e30</t>
        </is>
      </c>
      <c r="B97" s="3" t="inlineStr">
        <is>
          <t>Chile Chipotle Adobado 24/380 GR</t>
        </is>
      </c>
      <c r="C97" s="3" t="inlineStr">
        <is>
          <t>lata</t>
        </is>
      </c>
      <c r="D97" s="3" t="inlineStr">
        <is>
          <t>Insumo Extras</t>
        </is>
      </c>
      <c r="E97" s="4" t="n">
        <v>2.610739251612903</v>
      </c>
    </row>
    <row r="98">
      <c r="A98" s="3" t="inlineStr">
        <is>
          <t>1106369a</t>
        </is>
      </c>
      <c r="B98" s="3" t="inlineStr">
        <is>
          <t>Chile Jalapeño Sobre MC. Cormick500/5 G</t>
        </is>
      </c>
      <c r="C98" s="3" t="inlineStr">
        <is>
          <t>sobre</t>
        </is>
      </c>
      <c r="D98" s="3" t="inlineStr">
        <is>
          <t>Insumos</t>
        </is>
      </c>
      <c r="E98" s="4" t="n">
        <v>0.0286</v>
      </c>
    </row>
    <row r="99">
      <c r="A99" s="3" t="inlineStr">
        <is>
          <t>a017d502</t>
        </is>
      </c>
      <c r="B99" s="3" t="inlineStr">
        <is>
          <t>Chile Molido</t>
        </is>
      </c>
      <c r="C99" s="3" t="inlineStr">
        <is>
          <t>cucharada</t>
        </is>
      </c>
      <c r="D99" s="3" t="inlineStr">
        <is>
          <t>Insumo Cocina</t>
        </is>
      </c>
      <c r="E99" s="5" t="n">
        <v>0</v>
      </c>
    </row>
    <row r="100">
      <c r="A100" s="3" t="inlineStr">
        <is>
          <t>a3b30e67</t>
        </is>
      </c>
      <c r="B100" s="3" t="inlineStr">
        <is>
          <t>Chile verde</t>
        </is>
      </c>
      <c r="C100" s="3" t="inlineStr">
        <is>
          <t>unidad</t>
        </is>
      </c>
      <c r="D100" s="3" t="inlineStr">
        <is>
          <t>Insumo</t>
        </is>
      </c>
      <c r="E100" s="4" t="n">
        <v>4.230769230769231</v>
      </c>
    </row>
    <row r="101">
      <c r="A101" s="3" t="inlineStr">
        <is>
          <t>00033f61</t>
        </is>
      </c>
      <c r="B101" s="3" t="inlineStr">
        <is>
          <t>Chile Verde Mercado</t>
        </is>
      </c>
      <c r="C101" s="3" t="inlineStr">
        <is>
          <t>Unidad</t>
        </is>
      </c>
      <c r="D101" s="3" t="inlineStr">
        <is>
          <t>Insumo Cocina</t>
        </is>
      </c>
      <c r="E101" s="4" t="n">
        <v>0.88</v>
      </c>
    </row>
    <row r="102">
      <c r="A102" s="3" t="inlineStr">
        <is>
          <t>18aa0ec1</t>
        </is>
      </c>
      <c r="B102" s="3" t="inlineStr">
        <is>
          <t>Chili bolsa</t>
        </is>
      </c>
      <c r="C102" s="3" t="inlineStr">
        <is>
          <t>bolsa</t>
        </is>
      </c>
      <c r="D102" s="3" t="inlineStr">
        <is>
          <t>Carnes y Complementos</t>
        </is>
      </c>
      <c r="E102" s="5" t="n">
        <v>0</v>
      </c>
    </row>
    <row r="103">
      <c r="A103" s="3" t="inlineStr">
        <is>
          <t>7b8d47e6</t>
        </is>
      </c>
      <c r="B103" s="3" t="inlineStr">
        <is>
          <t>Chili con vaso</t>
        </is>
      </c>
      <c r="C103" s="3" t="inlineStr">
        <is>
          <t>unidad</t>
        </is>
      </c>
      <c r="D103" s="3" t="inlineStr">
        <is>
          <t>salsas</t>
        </is>
      </c>
      <c r="E103" s="5" t="n">
        <v>0</v>
      </c>
    </row>
    <row r="104">
      <c r="A104" s="3" t="inlineStr">
        <is>
          <t>68917f9f</t>
        </is>
      </c>
      <c r="B104" s="3" t="inlineStr">
        <is>
          <t>Chili Duo</t>
        </is>
      </c>
      <c r="C104" s="3" t="inlineStr">
        <is>
          <t>porcion</t>
        </is>
      </c>
      <c r="D104" s="3" t="inlineStr">
        <is>
          <t>Producto Terminado</t>
        </is>
      </c>
      <c r="E104" s="5" t="n">
        <v>0</v>
      </c>
    </row>
    <row r="105">
      <c r="A105" s="3" t="inlineStr">
        <is>
          <t>5a97ab7f</t>
        </is>
      </c>
      <c r="B105" s="3" t="inlineStr">
        <is>
          <t>Chili Mini Fancys</t>
        </is>
      </c>
      <c r="C105" s="3" t="inlineStr">
        <is>
          <t>porcion</t>
        </is>
      </c>
      <c r="D105" s="3" t="inlineStr">
        <is>
          <t>Producto Terminado</t>
        </is>
      </c>
      <c r="E105" s="5" t="n">
        <v>0</v>
      </c>
    </row>
    <row r="106">
      <c r="A106" s="3" t="inlineStr">
        <is>
          <t>de9199cd</t>
        </is>
      </c>
      <c r="B106" s="3" t="inlineStr">
        <is>
          <t>Chili porción</t>
        </is>
      </c>
      <c r="C106" s="3" t="inlineStr">
        <is>
          <t>porcion</t>
        </is>
      </c>
      <c r="D106" s="3" t="inlineStr">
        <is>
          <t>Producto Terminado</t>
        </is>
      </c>
      <c r="E106" s="5" t="n">
        <v>0</v>
      </c>
    </row>
    <row r="107">
      <c r="A107" s="3" t="inlineStr">
        <is>
          <t>0e0075f2</t>
        </is>
      </c>
      <c r="B107" s="3" t="inlineStr">
        <is>
          <t>Chilli Dog</t>
        </is>
      </c>
      <c r="C107" s="3" t="inlineStr">
        <is>
          <t>porcion</t>
        </is>
      </c>
      <c r="D107" s="3" t="inlineStr">
        <is>
          <t>Producto Terminado</t>
        </is>
      </c>
      <c r="E107" s="5" t="n">
        <v>0</v>
      </c>
    </row>
    <row r="108">
      <c r="A108" s="3" t="inlineStr">
        <is>
          <t>c3e6a382</t>
        </is>
      </c>
      <c r="B108" s="3" t="inlineStr">
        <is>
          <t>Chipotle bolsa</t>
        </is>
      </c>
      <c r="C108" s="3" t="inlineStr">
        <is>
          <t>bolsa</t>
        </is>
      </c>
      <c r="D108" s="3" t="inlineStr">
        <is>
          <t>Salsas y Aderezos</t>
        </is>
      </c>
      <c r="E108" s="5" t="n">
        <v>0</v>
      </c>
    </row>
    <row r="109">
      <c r="A109" s="3" t="inlineStr">
        <is>
          <t>4c557728</t>
        </is>
      </c>
      <c r="B109" s="3" t="inlineStr">
        <is>
          <t>Cilantro badia bote 99.2 gr</t>
        </is>
      </c>
      <c r="C109" s="3" t="inlineStr">
        <is>
          <t>bote</t>
        </is>
      </c>
      <c r="D109" s="3" t="inlineStr">
        <is>
          <t>Salsas y Aderezos</t>
        </is>
      </c>
      <c r="E109" s="5" t="n">
        <v>0</v>
      </c>
    </row>
    <row r="110">
      <c r="A110" s="3" t="inlineStr">
        <is>
          <t>ef3201d9</t>
        </is>
      </c>
      <c r="B110" s="3" t="inlineStr">
        <is>
          <t>CM MIX 2.27kg</t>
        </is>
      </c>
      <c r="C110" s="3" t="inlineStr">
        <is>
          <t>kg</t>
        </is>
      </c>
      <c r="D110" s="3" t="inlineStr">
        <is>
          <t>Insumo Entradas</t>
        </is>
      </c>
      <c r="E110" s="4" t="n">
        <v>6.348185714285714</v>
      </c>
    </row>
    <row r="111">
      <c r="A111" s="3" t="inlineStr">
        <is>
          <t>1cd8fdb5</t>
        </is>
      </c>
      <c r="B111" s="3" t="inlineStr">
        <is>
          <t>CM MIX mezcla 3 quesos de costra (bolsa 2.27 kg)</t>
        </is>
      </c>
      <c r="C111" s="3" t="inlineStr">
        <is>
          <t>kg</t>
        </is>
      </c>
      <c r="D111" s="3" t="inlineStr">
        <is>
          <t>Insumo Hamburguesa</t>
        </is>
      </c>
      <c r="E111" s="4" t="n">
        <v>2.718061674008811</v>
      </c>
    </row>
    <row r="112">
      <c r="A112" s="3" t="inlineStr">
        <is>
          <t>779f3719</t>
        </is>
      </c>
      <c r="B112" s="3" t="inlineStr">
        <is>
          <t>Cocoa en Polvo</t>
        </is>
      </c>
      <c r="C112" s="3" t="inlineStr">
        <is>
          <t>cucharadita</t>
        </is>
      </c>
      <c r="D112" s="3" t="inlineStr">
        <is>
          <t>Insumo Cocina</t>
        </is>
      </c>
      <c r="E112" s="5" t="n">
        <v>0</v>
      </c>
    </row>
    <row r="113">
      <c r="A113" s="3" t="inlineStr">
        <is>
          <t>19abbe9c</t>
        </is>
      </c>
      <c r="B113" s="3" t="inlineStr">
        <is>
          <t>COFIA ESCAFANDRA DIKEN</t>
        </is>
      </c>
      <c r="C113" s="3" t="inlineStr">
        <is>
          <t>unidad</t>
        </is>
      </c>
      <c r="D113" s="3" t="inlineStr">
        <is>
          <t>Insumos</t>
        </is>
      </c>
      <c r="E113" s="4" t="n">
        <v>26.4</v>
      </c>
    </row>
    <row r="114">
      <c r="A114" s="3" t="inlineStr">
        <is>
          <t>a0f9d50c</t>
        </is>
      </c>
      <c r="B114" s="3" t="inlineStr">
        <is>
          <t>COFIA ESCAFANDRA DIKEN</t>
        </is>
      </c>
      <c r="C114" s="3" t="inlineStr">
        <is>
          <t>unidad</t>
        </is>
      </c>
      <c r="D114" s="3" t="inlineStr">
        <is>
          <t>Insumos</t>
        </is>
      </c>
      <c r="E114" s="4" t="n">
        <v>26.4</v>
      </c>
    </row>
    <row r="115">
      <c r="A115" s="3" t="inlineStr">
        <is>
          <t>0dfc5795</t>
        </is>
      </c>
      <c r="B115" s="3" t="inlineStr">
        <is>
          <t>Combig</t>
        </is>
      </c>
      <c r="C115" s="3" t="inlineStr">
        <is>
          <t>porcion</t>
        </is>
      </c>
      <c r="D115" s="3" t="inlineStr">
        <is>
          <t>Producto Terminado</t>
        </is>
      </c>
      <c r="E115" s="5" t="n">
        <v>0</v>
      </c>
    </row>
    <row r="116">
      <c r="A116" s="3" t="inlineStr">
        <is>
          <t>5b848feb</t>
        </is>
      </c>
      <c r="B116" s="3" t="inlineStr">
        <is>
          <t>Combpleto</t>
        </is>
      </c>
      <c r="C116" s="3" t="inlineStr">
        <is>
          <t>porcion</t>
        </is>
      </c>
      <c r="D116" s="3" t="inlineStr">
        <is>
          <t>Producto Terminado</t>
        </is>
      </c>
      <c r="E116" s="5" t="n">
        <v>0</v>
      </c>
    </row>
    <row r="117">
      <c r="A117" s="3" t="inlineStr">
        <is>
          <t>8f0ee8b8</t>
        </is>
      </c>
      <c r="B117" s="3" t="inlineStr">
        <is>
          <t>Combros</t>
        </is>
      </c>
      <c r="C117" s="3" t="inlineStr">
        <is>
          <t>porcion</t>
        </is>
      </c>
      <c r="D117" s="3" t="inlineStr">
        <is>
          <t>Producto Terminado</t>
        </is>
      </c>
      <c r="E117" s="5" t="n">
        <v>0</v>
      </c>
    </row>
    <row r="118">
      <c r="A118" s="3" t="inlineStr">
        <is>
          <t>81106def</t>
        </is>
      </c>
      <c r="B118" s="3" t="inlineStr">
        <is>
          <t>Comino Molido</t>
        </is>
      </c>
      <c r="C118" s="3" t="inlineStr">
        <is>
          <t>cucharadita</t>
        </is>
      </c>
      <c r="D118" s="3" t="inlineStr">
        <is>
          <t>Insumo Cocina</t>
        </is>
      </c>
      <c r="E118" s="4" t="n">
        <v>11.83333333333333</v>
      </c>
    </row>
    <row r="119">
      <c r="A119" s="3" t="inlineStr">
        <is>
          <t>1f99c20e</t>
        </is>
      </c>
      <c r="B119" s="3" t="inlineStr">
        <is>
          <t>Coronitas adivina la marca paquete 200 unidades</t>
        </is>
      </c>
      <c r="C119" s="3" t="inlineStr">
        <is>
          <t>paquete</t>
        </is>
      </c>
      <c r="D119" s="3" t="inlineStr">
        <is>
          <t>Extras</t>
        </is>
      </c>
      <c r="E119" s="5" t="n">
        <v>0</v>
      </c>
    </row>
    <row r="120">
      <c r="A120" s="3" t="inlineStr">
        <is>
          <t>0e5d7b7f</t>
        </is>
      </c>
      <c r="B120" s="3" t="inlineStr">
        <is>
          <t>Costilla Sparib</t>
        </is>
      </c>
      <c r="C120" s="3" t="inlineStr">
        <is>
          <t>lb</t>
        </is>
      </c>
      <c r="D120" s="3" t="inlineStr">
        <is>
          <t>Carnes</t>
        </is>
      </c>
      <c r="E120" s="4" t="n">
        <v>2.77</v>
      </c>
    </row>
    <row r="121">
      <c r="A121" s="3" t="inlineStr">
        <is>
          <t>95daa9c9</t>
        </is>
      </c>
      <c r="B121" s="3" t="inlineStr">
        <is>
          <t>Costra de Queso porción</t>
        </is>
      </c>
      <c r="C121" s="3" t="inlineStr">
        <is>
          <t>porcion</t>
        </is>
      </c>
      <c r="D121" s="3" t="inlineStr">
        <is>
          <t>Producto Terminado</t>
        </is>
      </c>
      <c r="E121" s="5" t="n">
        <v>0</v>
      </c>
    </row>
    <row r="122">
      <c r="A122" s="3" t="inlineStr">
        <is>
          <t>7c9ff0bb</t>
        </is>
      </c>
      <c r="B122" s="3" t="inlineStr">
        <is>
          <t>Cuchara pequeña fardo</t>
        </is>
      </c>
      <c r="C122" s="3" t="inlineStr">
        <is>
          <t>paquete</t>
        </is>
      </c>
      <c r="D122" s="3" t="inlineStr">
        <is>
          <t>Desechables</t>
        </is>
      </c>
      <c r="E122" s="4" t="n">
        <v>7.724710769230769</v>
      </c>
    </row>
    <row r="123">
      <c r="A123" s="3" t="inlineStr">
        <is>
          <t>382326f7</t>
        </is>
      </c>
      <c r="B123" s="3" t="inlineStr">
        <is>
          <t>Cuchara pequeña paquete 24 bolsitas</t>
        </is>
      </c>
      <c r="C123" s="3" t="inlineStr">
        <is>
          <t>paquete</t>
        </is>
      </c>
      <c r="D123" s="3" t="inlineStr">
        <is>
          <t>Empaques y Desechables</t>
        </is>
      </c>
      <c r="E123" s="5" t="n">
        <v>0</v>
      </c>
    </row>
    <row r="124">
      <c r="A124" s="3" t="inlineStr">
        <is>
          <t>90224b72</t>
        </is>
      </c>
      <c r="B124" s="3" t="inlineStr">
        <is>
          <t>Culotte Americano</t>
        </is>
      </c>
      <c r="C124" s="3" t="inlineStr">
        <is>
          <t>lb</t>
        </is>
      </c>
      <c r="D124" s="3" t="inlineStr">
        <is>
          <t>Carnes</t>
        </is>
      </c>
      <c r="E124" s="4" t="n">
        <v>10</v>
      </c>
    </row>
    <row r="125">
      <c r="A125" s="3" t="inlineStr">
        <is>
          <t>8f39305d</t>
        </is>
      </c>
      <c r="B125" s="3" t="inlineStr">
        <is>
          <t>Cups de Chili caja 1000 piezas</t>
        </is>
      </c>
      <c r="C125" s="3" t="inlineStr">
        <is>
          <t>caja</t>
        </is>
      </c>
      <c r="D125" s="3" t="inlineStr">
        <is>
          <t>Empaques y Desechables</t>
        </is>
      </c>
      <c r="E125" s="4" t="n">
        <v>0.095928</v>
      </c>
    </row>
    <row r="126">
      <c r="A126" s="3" t="inlineStr">
        <is>
          <t>9cfcfb75</t>
        </is>
      </c>
      <c r="B126" s="3" t="inlineStr">
        <is>
          <t>Cups de Tocino caja 1000 piezas</t>
        </is>
      </c>
      <c r="C126" s="3" t="inlineStr">
        <is>
          <t>caja</t>
        </is>
      </c>
      <c r="D126" s="3" t="inlineStr">
        <is>
          <t>Empaques y Desechables</t>
        </is>
      </c>
      <c r="E126" s="5" t="n">
        <v>0</v>
      </c>
    </row>
    <row r="127">
      <c r="A127" s="3" t="inlineStr">
        <is>
          <t>68d94b59</t>
        </is>
      </c>
      <c r="B127" s="3" t="inlineStr">
        <is>
          <t>DEPOSITO DE 2 OZ CAJA</t>
        </is>
      </c>
      <c r="C127" s="3" t="inlineStr">
        <is>
          <t>unidad</t>
        </is>
      </c>
      <c r="D127" s="3" t="inlineStr">
        <is>
          <t>Insumos</t>
        </is>
      </c>
      <c r="E127" s="4" t="n">
        <v>22.12</v>
      </c>
    </row>
    <row r="128">
      <c r="A128" s="3" t="inlineStr">
        <is>
          <t>457708ab</t>
        </is>
      </c>
      <c r="B128" s="3" t="inlineStr">
        <is>
          <t>DERMAFOAM-Jabon paraanos</t>
        </is>
      </c>
      <c r="C128" s="3" t="inlineStr">
        <is>
          <t>unidad</t>
        </is>
      </c>
      <c r="D128" s="3" t="inlineStr">
        <is>
          <t>Insumos</t>
        </is>
      </c>
      <c r="E128" s="4" t="n">
        <v>23.55</v>
      </c>
    </row>
    <row r="129">
      <c r="A129" s="3" t="inlineStr">
        <is>
          <t>0c894b97</t>
        </is>
      </c>
      <c r="B129" s="3" t="inlineStr">
        <is>
          <t>Dispensador Botellas de vidrio MONIN Blanco 7ml-1/4oz</t>
        </is>
      </c>
      <c r="C129" s="3" t="inlineStr">
        <is>
          <t>unidad</t>
        </is>
      </c>
      <c r="D129" s="3" t="inlineStr">
        <is>
          <t>Insumos</t>
        </is>
      </c>
      <c r="E129" s="4" t="n">
        <v>4.42</v>
      </c>
    </row>
    <row r="130">
      <c r="A130" s="3" t="inlineStr">
        <is>
          <t>5c7c0766</t>
        </is>
      </c>
      <c r="B130" s="3" t="inlineStr">
        <is>
          <t>Duo Picossini</t>
        </is>
      </c>
      <c r="C130" s="3" t="inlineStr">
        <is>
          <t>porcion</t>
        </is>
      </c>
      <c r="D130" s="3" t="inlineStr">
        <is>
          <t>Producto Terminado</t>
        </is>
      </c>
      <c r="E130" s="5" t="n">
        <v>0</v>
      </c>
    </row>
    <row r="131">
      <c r="A131" s="3" t="inlineStr">
        <is>
          <t>f971739b</t>
        </is>
      </c>
      <c r="B131" s="3" t="inlineStr">
        <is>
          <t>Escabeche bolsa</t>
        </is>
      </c>
      <c r="C131" s="3" t="inlineStr">
        <is>
          <t>bolsa</t>
        </is>
      </c>
      <c r="D131" s="3" t="inlineStr">
        <is>
          <t>Vegetales y Verduras</t>
        </is>
      </c>
      <c r="E131" s="5" t="n">
        <v>0</v>
      </c>
    </row>
    <row r="132">
      <c r="A132" s="3" t="inlineStr">
        <is>
          <t>358798e2</t>
        </is>
      </c>
      <c r="B132" s="3" t="inlineStr">
        <is>
          <t>Etiqueta 2x1" POLI</t>
        </is>
      </c>
      <c r="C132" s="3" t="inlineStr">
        <is>
          <t>unidad</t>
        </is>
      </c>
      <c r="D132" s="3" t="inlineStr">
        <is>
          <t>Insumos</t>
        </is>
      </c>
      <c r="E132" s="4" t="n">
        <v>3</v>
      </c>
    </row>
    <row r="133">
      <c r="A133" s="3" t="inlineStr">
        <is>
          <t>af40aa09</t>
        </is>
      </c>
      <c r="B133" s="3" t="inlineStr">
        <is>
          <t>Fancy</t>
        </is>
      </c>
      <c r="C133" s="3" t="inlineStr">
        <is>
          <t>porcion</t>
        </is>
      </c>
      <c r="D133" s="3" t="inlineStr">
        <is>
          <t>Sub Producto</t>
        </is>
      </c>
      <c r="E133" s="5" t="n">
        <v>0</v>
      </c>
    </row>
    <row r="134">
      <c r="A134" s="3" t="inlineStr">
        <is>
          <t>44db60e9</t>
        </is>
      </c>
      <c r="B134" s="3" t="inlineStr">
        <is>
          <t>Fancys unidad</t>
        </is>
      </c>
      <c r="C134" s="3" t="inlineStr">
        <is>
          <t>unidad</t>
        </is>
      </c>
      <c r="D134" s="3" t="inlineStr">
        <is>
          <t>Papas y Congelados</t>
        </is>
      </c>
      <c r="E134" s="5" t="n">
        <v>0</v>
      </c>
    </row>
    <row r="135">
      <c r="A135" s="3" t="inlineStr">
        <is>
          <t>b8d50a69</t>
        </is>
      </c>
      <c r="B135" s="3" t="inlineStr">
        <is>
          <t>Fancys XL</t>
        </is>
      </c>
      <c r="C135" s="3" t="inlineStr">
        <is>
          <t>porcion</t>
        </is>
      </c>
      <c r="D135" s="3" t="inlineStr">
        <is>
          <t>Producto Terminado</t>
        </is>
      </c>
      <c r="E135" s="5" t="n">
        <v>0</v>
      </c>
    </row>
    <row r="136">
      <c r="A136" s="3" t="inlineStr">
        <is>
          <t>8df07bae</t>
        </is>
      </c>
      <c r="B136" s="3" t="inlineStr">
        <is>
          <t>Fardo Polipel La Economica</t>
        </is>
      </c>
      <c r="C136" s="3" t="inlineStr">
        <is>
          <t>Paquete</t>
        </is>
      </c>
      <c r="D136" s="3" t="inlineStr">
        <is>
          <t>Insumo Despacho</t>
        </is>
      </c>
      <c r="E136" s="4" t="n">
        <v>42.4778</v>
      </c>
    </row>
    <row r="137">
      <c r="A137" s="3" t="inlineStr">
        <is>
          <t>cd67d890</t>
        </is>
      </c>
      <c r="B137" s="3" t="inlineStr">
        <is>
          <t>FIBRA MANO  VERDE  6 UND</t>
        </is>
      </c>
      <c r="C137" s="3" t="inlineStr">
        <is>
          <t>unidad</t>
        </is>
      </c>
      <c r="D137" s="3" t="inlineStr">
        <is>
          <t>Insumos</t>
        </is>
      </c>
      <c r="E137" s="4" t="n">
        <v>12.3</v>
      </c>
    </row>
    <row r="138">
      <c r="A138" s="3" t="inlineStr">
        <is>
          <t>811e0766</t>
        </is>
      </c>
      <c r="B138" s="3" t="inlineStr">
        <is>
          <t>FIBRA MANO AZUL 6 UND</t>
        </is>
      </c>
      <c r="C138" s="3" t="inlineStr">
        <is>
          <t>unidad</t>
        </is>
      </c>
      <c r="D138" s="3" t="inlineStr">
        <is>
          <t>Insumos</t>
        </is>
      </c>
      <c r="E138" s="4" t="n">
        <v>12.3</v>
      </c>
    </row>
    <row r="139">
      <c r="A139" s="3" t="inlineStr">
        <is>
          <t>7d06de79</t>
        </is>
      </c>
      <c r="B139" s="3" t="inlineStr">
        <is>
          <t>FIBRA MANO BEIGE  6 UND</t>
        </is>
      </c>
      <c r="C139" s="3" t="inlineStr">
        <is>
          <t>unidad</t>
        </is>
      </c>
      <c r="D139" s="3" t="inlineStr">
        <is>
          <t>Insumos</t>
        </is>
      </c>
      <c r="E139" s="4" t="n">
        <v>12.3</v>
      </c>
    </row>
    <row r="140">
      <c r="A140" s="3" t="inlineStr">
        <is>
          <t>ffc783fe</t>
        </is>
      </c>
      <c r="B140" s="3" t="inlineStr">
        <is>
          <t>Fibra negra para parrilla unidad</t>
        </is>
      </c>
      <c r="C140" s="3" t="inlineStr">
        <is>
          <t>unidad</t>
        </is>
      </c>
      <c r="D140" s="3" t="inlineStr">
        <is>
          <t>Utensilios de Limpieza</t>
        </is>
      </c>
      <c r="E140" s="5" t="n">
        <v>0</v>
      </c>
    </row>
    <row r="141">
      <c r="A141" s="3" t="inlineStr">
        <is>
          <t>3a57e7c0</t>
        </is>
      </c>
      <c r="B141" s="3" t="inlineStr">
        <is>
          <t>Fibra verde paste unidad</t>
        </is>
      </c>
      <c r="C141" s="3" t="inlineStr">
        <is>
          <t>unidad</t>
        </is>
      </c>
      <c r="D141" s="3" t="inlineStr">
        <is>
          <t>Utensilios de Limpieza</t>
        </is>
      </c>
      <c r="E141" s="5" t="n">
        <v>0</v>
      </c>
    </row>
    <row r="142">
      <c r="A142" s="3" t="inlineStr">
        <is>
          <t>f5c444fa</t>
        </is>
      </c>
      <c r="B142" s="3" t="inlineStr">
        <is>
          <t>FOOD FILM 18" X 2000 FT PVC</t>
        </is>
      </c>
      <c r="C142" s="3" t="inlineStr">
        <is>
          <t>unidad</t>
        </is>
      </c>
      <c r="D142" s="3" t="inlineStr">
        <is>
          <t>INSUMO</t>
        </is>
      </c>
      <c r="E142" s="4" t="n">
        <v>14.5</v>
      </c>
    </row>
    <row r="143">
      <c r="A143" s="3" t="inlineStr">
        <is>
          <t>7788c683</t>
        </is>
      </c>
      <c r="B143" s="3" t="inlineStr">
        <is>
          <t>Freakie Box</t>
        </is>
      </c>
      <c r="C143" s="3" t="inlineStr">
        <is>
          <t>porcion</t>
        </is>
      </c>
      <c r="D143" s="3" t="inlineStr">
        <is>
          <t>Producto Terminado</t>
        </is>
      </c>
      <c r="E143" s="5" t="n">
        <v>0</v>
      </c>
    </row>
    <row r="144">
      <c r="A144" s="3" t="inlineStr">
        <is>
          <t>c8961c04</t>
        </is>
      </c>
      <c r="B144" s="3" t="inlineStr">
        <is>
          <t>Freakie Burger</t>
        </is>
      </c>
      <c r="C144" s="3" t="inlineStr">
        <is>
          <t>porcion</t>
        </is>
      </c>
      <c r="D144" s="3" t="inlineStr">
        <is>
          <t>Producto Terminado</t>
        </is>
      </c>
      <c r="E144" s="5" t="n">
        <v>0</v>
      </c>
    </row>
    <row r="145">
      <c r="A145" s="3" t="inlineStr">
        <is>
          <t>34d1326e</t>
        </is>
      </c>
      <c r="B145" s="3" t="inlineStr">
        <is>
          <t>Freakie Dog</t>
        </is>
      </c>
      <c r="C145" s="3" t="inlineStr">
        <is>
          <t>porcion</t>
        </is>
      </c>
      <c r="D145" s="3" t="inlineStr">
        <is>
          <t>Producto Terminado</t>
        </is>
      </c>
      <c r="E145" s="5" t="n">
        <v>0</v>
      </c>
    </row>
    <row r="146">
      <c r="A146" s="3" t="inlineStr">
        <is>
          <t>0ba871f6</t>
        </is>
      </c>
      <c r="B146" s="3" t="inlineStr">
        <is>
          <t>Freakie Dog armado</t>
        </is>
      </c>
      <c r="C146" s="3" t="inlineStr">
        <is>
          <t>porcion</t>
        </is>
      </c>
      <c r="D146" s="3" t="inlineStr">
        <is>
          <t>Producto Terminado</t>
        </is>
      </c>
      <c r="E146" s="5" t="n">
        <v>0</v>
      </c>
    </row>
    <row r="147">
      <c r="A147" s="3" t="inlineStr">
        <is>
          <t>ef35241b</t>
        </is>
      </c>
      <c r="B147" s="3" t="inlineStr">
        <is>
          <t>Freakie Family</t>
        </is>
      </c>
      <c r="C147" s="3" t="inlineStr">
        <is>
          <t>porcion</t>
        </is>
      </c>
      <c r="D147" s="3" t="inlineStr">
        <is>
          <t>Producto Terminado</t>
        </is>
      </c>
      <c r="E147" s="5" t="n">
        <v>0</v>
      </c>
    </row>
    <row r="148">
      <c r="A148" s="3" t="inlineStr">
        <is>
          <t>7e4a11da</t>
        </is>
      </c>
      <c r="B148" s="3" t="inlineStr">
        <is>
          <t>Freakie Fries</t>
        </is>
      </c>
      <c r="C148" s="3" t="inlineStr">
        <is>
          <t>porcion</t>
        </is>
      </c>
      <c r="D148" s="3" t="inlineStr">
        <is>
          <t>Producto Terminado</t>
        </is>
      </c>
      <c r="E148" s="5" t="n">
        <v>0</v>
      </c>
    </row>
    <row r="149">
      <c r="A149" s="3" t="inlineStr">
        <is>
          <t>45ff24b2</t>
        </is>
      </c>
      <c r="B149" s="3" t="inlineStr">
        <is>
          <t>Frijol Entero Bayo La Sierra 12/560 GR</t>
        </is>
      </c>
      <c r="C149" s="3" t="inlineStr">
        <is>
          <t>lata</t>
        </is>
      </c>
      <c r="D149" s="3" t="inlineStr">
        <is>
          <t>Insumo Chili</t>
        </is>
      </c>
      <c r="E149" s="4" t="n">
        <v>1.769917</v>
      </c>
    </row>
    <row r="150">
      <c r="A150" s="3" t="inlineStr">
        <is>
          <t>658fe06f</t>
        </is>
      </c>
      <c r="B150" s="3" t="inlineStr">
        <is>
          <t>Frijol Entero Negro La Sierra 12/560 GR</t>
        </is>
      </c>
      <c r="C150" s="3" t="inlineStr">
        <is>
          <t>lata</t>
        </is>
      </c>
      <c r="D150" s="3" t="inlineStr">
        <is>
          <t>Insumo Chili</t>
        </is>
      </c>
      <c r="E150" s="4" t="n">
        <v>1.769917</v>
      </c>
    </row>
    <row r="151">
      <c r="A151" s="3" t="inlineStr">
        <is>
          <t>2927cd6e</t>
        </is>
      </c>
      <c r="B151" s="3" t="inlineStr">
        <is>
          <t>Gaseosa Coca-Cola Vr 354ml 1x24 un</t>
        </is>
      </c>
      <c r="C151" s="3" t="inlineStr">
        <is>
          <t>Caja</t>
        </is>
      </c>
      <c r="D151" s="3" t="inlineStr">
        <is>
          <t>Insumo Soda</t>
        </is>
      </c>
      <c r="E151" s="4" t="n">
        <v>0.4619260159634659</v>
      </c>
    </row>
    <row r="152">
      <c r="A152" s="3" t="inlineStr">
        <is>
          <t>70efc781</t>
        </is>
      </c>
      <c r="B152" s="3" t="inlineStr">
        <is>
          <t>Glutamato Monosodico</t>
        </is>
      </c>
      <c r="C152" s="3" t="inlineStr">
        <is>
          <t>g</t>
        </is>
      </c>
      <c r="D152" s="3" t="inlineStr">
        <is>
          <t>Insumo Hamburguesa</t>
        </is>
      </c>
      <c r="E152" s="4" t="n">
        <v>0.01055066079295154</v>
      </c>
    </row>
    <row r="153">
      <c r="A153" s="3" t="inlineStr">
        <is>
          <t>953a0e3a</t>
        </is>
      </c>
      <c r="B153" s="3" t="inlineStr">
        <is>
          <t>Gomitas de hamburguesas caja 24 unidades</t>
        </is>
      </c>
      <c r="C153" s="3" t="inlineStr">
        <is>
          <t>unidad</t>
        </is>
      </c>
      <c r="D153" s="3" t="inlineStr">
        <is>
          <t>Extras</t>
        </is>
      </c>
      <c r="E153" s="4" t="n">
        <v>0.9027067395419848</v>
      </c>
    </row>
    <row r="154">
      <c r="A154" s="3" t="inlineStr">
        <is>
          <t>c2f4278e</t>
        </is>
      </c>
      <c r="B154" s="3" t="inlineStr">
        <is>
          <t>Gorra Freakie</t>
        </is>
      </c>
      <c r="C154" s="3" t="inlineStr">
        <is>
          <t>unidad</t>
        </is>
      </c>
      <c r="D154" s="3" t="inlineStr">
        <is>
          <t>Merchandising</t>
        </is>
      </c>
      <c r="E154" s="4" t="n">
        <v>15</v>
      </c>
    </row>
    <row r="155">
      <c r="A155" s="3" t="inlineStr">
        <is>
          <t>6c586c9a</t>
        </is>
      </c>
      <c r="B155" s="3" t="inlineStr">
        <is>
          <t>Grasa de Res Corte Argentino</t>
        </is>
      </c>
      <c r="C155" s="3" t="inlineStr">
        <is>
          <t>lb</t>
        </is>
      </c>
      <c r="D155" s="3" t="inlineStr">
        <is>
          <t>Insumo Hamburguesa</t>
        </is>
      </c>
      <c r="E155" s="4" t="n">
        <v>1.19</v>
      </c>
    </row>
    <row r="156">
      <c r="A156" s="3" t="inlineStr">
        <is>
          <t>7b9a7a95</t>
        </is>
      </c>
      <c r="B156" s="3" t="inlineStr">
        <is>
          <t>Grasa para plancha</t>
        </is>
      </c>
      <c r="C156" s="3" t="inlineStr">
        <is>
          <t>unidad</t>
        </is>
      </c>
      <c r="D156" s="3" t="inlineStr">
        <is>
          <t>Carnes y Complementos</t>
        </is>
      </c>
      <c r="E156" s="5" t="n">
        <v>0</v>
      </c>
    </row>
    <row r="157">
      <c r="A157" s="3" t="inlineStr">
        <is>
          <t>abbe08d0</t>
        </is>
      </c>
      <c r="B157" s="3" t="inlineStr">
        <is>
          <t>Guante de nitrilo sin talco L</t>
        </is>
      </c>
      <c r="C157" s="3" t="inlineStr">
        <is>
          <t>unidad</t>
        </is>
      </c>
      <c r="D157" s="3" t="inlineStr">
        <is>
          <t>Insumo</t>
        </is>
      </c>
      <c r="E157" s="4" t="n">
        <v>4.42</v>
      </c>
    </row>
    <row r="158">
      <c r="A158" s="3" t="inlineStr">
        <is>
          <t>54432bb8</t>
        </is>
      </c>
      <c r="B158" s="3" t="inlineStr">
        <is>
          <t>Guante de nitrilo sin talco M</t>
        </is>
      </c>
      <c r="C158" s="3" t="inlineStr">
        <is>
          <t>unidad</t>
        </is>
      </c>
      <c r="D158" s="3" t="inlineStr">
        <is>
          <t>Insumo</t>
        </is>
      </c>
      <c r="E158" s="4" t="n">
        <v>4.42</v>
      </c>
    </row>
    <row r="159">
      <c r="A159" s="3" t="inlineStr">
        <is>
          <t>6da2e350</t>
        </is>
      </c>
      <c r="B159" s="3" t="inlineStr">
        <is>
          <t>Guante de nitrilo sin talco S</t>
        </is>
      </c>
      <c r="C159" s="3" t="inlineStr">
        <is>
          <t>unidad</t>
        </is>
      </c>
      <c r="D159" s="3" t="inlineStr">
        <is>
          <t>Insumo</t>
        </is>
      </c>
      <c r="E159" s="4" t="n">
        <v>5.158</v>
      </c>
    </row>
    <row r="160">
      <c r="A160" s="3" t="inlineStr">
        <is>
          <t>8ce9770e</t>
        </is>
      </c>
      <c r="B160" s="3" t="inlineStr">
        <is>
          <t>Guante nitrilo dk M</t>
        </is>
      </c>
      <c r="C160" s="3" t="inlineStr">
        <is>
          <t>unidad</t>
        </is>
      </c>
      <c r="D160" s="3" t="inlineStr">
        <is>
          <t>Insumos</t>
        </is>
      </c>
      <c r="E160" s="4" t="n">
        <v>8.109999999999999</v>
      </c>
    </row>
    <row r="161">
      <c r="A161" s="3" t="inlineStr">
        <is>
          <t>dd350dac</t>
        </is>
      </c>
      <c r="B161" s="3" t="inlineStr">
        <is>
          <t>Guantes nitrilo DK3. 5 L</t>
        </is>
      </c>
      <c r="C161" s="3" t="inlineStr">
        <is>
          <t>unidad</t>
        </is>
      </c>
      <c r="D161" s="3" t="inlineStr">
        <is>
          <t>Insumos</t>
        </is>
      </c>
      <c r="E161" s="4" t="n">
        <v>8.109999999999999</v>
      </c>
    </row>
    <row r="162">
      <c r="A162" s="3" t="inlineStr">
        <is>
          <t>92908c7a</t>
        </is>
      </c>
      <c r="B162" s="3" t="inlineStr">
        <is>
          <t>Guantes nitrilo dk8 L</t>
        </is>
      </c>
      <c r="C162" s="3" t="inlineStr">
        <is>
          <t>unidad</t>
        </is>
      </c>
      <c r="D162" s="3" t="inlineStr">
        <is>
          <t>Insumos</t>
        </is>
      </c>
      <c r="E162" s="4" t="n">
        <v>12.7</v>
      </c>
    </row>
    <row r="163">
      <c r="A163" s="3" t="inlineStr">
        <is>
          <t>4e5c73cf</t>
        </is>
      </c>
      <c r="B163" s="3" t="inlineStr">
        <is>
          <t>Guantes Talla L caja 100 unidades</t>
        </is>
      </c>
      <c r="C163" s="3" t="inlineStr">
        <is>
          <t>caja</t>
        </is>
      </c>
      <c r="D163" s="3" t="inlineStr">
        <is>
          <t>Empaques y Desechables</t>
        </is>
      </c>
      <c r="E163" s="5" t="n">
        <v>0</v>
      </c>
    </row>
    <row r="164">
      <c r="A164" s="3" t="inlineStr">
        <is>
          <t>e3cddb3b</t>
        </is>
      </c>
      <c r="B164" s="3" t="inlineStr">
        <is>
          <t>Guantes Talla M caja 100 unidades</t>
        </is>
      </c>
      <c r="C164" s="3" t="inlineStr">
        <is>
          <t>caja</t>
        </is>
      </c>
      <c r="D164" s="3" t="inlineStr">
        <is>
          <t>Empaques y Desechables</t>
        </is>
      </c>
      <c r="E164" s="5" t="n">
        <v>0</v>
      </c>
    </row>
    <row r="165">
      <c r="A165" s="3" t="inlineStr">
        <is>
          <t>8fd14c04</t>
        </is>
      </c>
      <c r="B165" s="3" t="inlineStr">
        <is>
          <t>Guantes Talla S caja 100 unidades</t>
        </is>
      </c>
      <c r="C165" s="3" t="inlineStr">
        <is>
          <t>caja</t>
        </is>
      </c>
      <c r="D165" s="3" t="inlineStr">
        <is>
          <t>Empaques y Desechables</t>
        </is>
      </c>
      <c r="E165" s="5" t="n">
        <v>0</v>
      </c>
    </row>
    <row r="166">
      <c r="A166" s="3" t="inlineStr">
        <is>
          <t>a2811e57</t>
        </is>
      </c>
      <c r="B166" s="3" t="inlineStr">
        <is>
          <t>HB GALON RECTANGULAR 110 GRS</t>
        </is>
      </c>
      <c r="C166" s="3" t="inlineStr">
        <is>
          <t>unidad</t>
        </is>
      </c>
      <c r="D166" s="3" t="inlineStr">
        <is>
          <t>Insumos</t>
        </is>
      </c>
      <c r="E166" s="4" t="n">
        <v>1</v>
      </c>
    </row>
    <row r="167">
      <c r="A167" s="3" t="inlineStr">
        <is>
          <t>637297b3</t>
        </is>
      </c>
      <c r="B167" s="3" t="inlineStr">
        <is>
          <t>HB-TAPA SEGURIDAD # 38 TRANSPARENTE</t>
        </is>
      </c>
      <c r="C167" s="3" t="inlineStr">
        <is>
          <t>unidad</t>
        </is>
      </c>
      <c r="D167" s="3" t="inlineStr">
        <is>
          <t>Insumos</t>
        </is>
      </c>
      <c r="E167" s="4" t="n">
        <v>0.04</v>
      </c>
    </row>
    <row r="168">
      <c r="A168" s="3" t="inlineStr">
        <is>
          <t>7ebe6802</t>
        </is>
      </c>
      <c r="B168" s="3" t="inlineStr">
        <is>
          <t>Hunts diced tomatoes 14.5 oz</t>
        </is>
      </c>
      <c r="C168" s="3" t="inlineStr">
        <is>
          <t>unidad</t>
        </is>
      </c>
      <c r="D168" s="3" t="inlineStr">
        <is>
          <t>Insumo</t>
        </is>
      </c>
      <c r="E168" s="4" t="n">
        <v>11.99</v>
      </c>
    </row>
    <row r="169">
      <c r="A169" s="3" t="inlineStr">
        <is>
          <t>d6798d04</t>
        </is>
      </c>
      <c r="B169" s="3" t="inlineStr">
        <is>
          <t>I+G Inosinato Guanilato</t>
        </is>
      </c>
      <c r="C169" s="3" t="inlineStr">
        <is>
          <t>g</t>
        </is>
      </c>
      <c r="D169" s="3" t="inlineStr">
        <is>
          <t>Insumo Cocina</t>
        </is>
      </c>
      <c r="E169" s="5" t="n">
        <v>0</v>
      </c>
    </row>
    <row r="170">
      <c r="A170" s="3" t="inlineStr">
        <is>
          <t>dbd77659</t>
        </is>
      </c>
      <c r="B170" s="3" t="inlineStr">
        <is>
          <t>Jabón líquido para trastes EXTRA CLEAN 1 galón</t>
        </is>
      </c>
      <c r="C170" s="3" t="inlineStr">
        <is>
          <t>galón</t>
        </is>
      </c>
      <c r="D170" s="3" t="inlineStr">
        <is>
          <t>Utensilios de Limpieza</t>
        </is>
      </c>
      <c r="E170" s="5" t="n">
        <v>0</v>
      </c>
    </row>
    <row r="171">
      <c r="A171" s="3" t="inlineStr">
        <is>
          <t>86100c94</t>
        </is>
      </c>
      <c r="B171" s="3" t="inlineStr">
        <is>
          <t xml:space="preserve">Jalapeño en escabeche </t>
        </is>
      </c>
      <c r="C171" s="3" t="inlineStr">
        <is>
          <t>porcion</t>
        </is>
      </c>
      <c r="D171" s="3" t="inlineStr">
        <is>
          <t>Sub Producto</t>
        </is>
      </c>
      <c r="E171" s="5" t="n">
        <v>0</v>
      </c>
    </row>
    <row r="172">
      <c r="A172" s="3" t="inlineStr">
        <is>
          <t>1a4ae17d</t>
        </is>
      </c>
      <c r="B172" s="3" t="inlineStr">
        <is>
          <t xml:space="preserve">Jalapeño en escabeche </t>
        </is>
      </c>
      <c r="C172" s="3" t="inlineStr">
        <is>
          <t>porcion</t>
        </is>
      </c>
      <c r="D172" s="3" t="inlineStr">
        <is>
          <t>Sub Producto</t>
        </is>
      </c>
      <c r="E172" s="5" t="n">
        <v>0</v>
      </c>
    </row>
    <row r="173">
      <c r="A173" s="3" t="inlineStr">
        <is>
          <t>5d664c4c</t>
        </is>
      </c>
      <c r="B173" s="3" t="inlineStr">
        <is>
          <t>Jalapeños bote</t>
        </is>
      </c>
      <c r="C173" s="3" t="inlineStr">
        <is>
          <t>oz</t>
        </is>
      </c>
      <c r="D173" s="3" t="inlineStr">
        <is>
          <t>Vegetales y Verduras</t>
        </is>
      </c>
      <c r="E173" s="4" t="n">
        <v>0.06872082616179001</v>
      </c>
    </row>
    <row r="174">
      <c r="A174" s="3" t="inlineStr">
        <is>
          <t>4239524d</t>
        </is>
      </c>
      <c r="B174" s="3" t="inlineStr">
        <is>
          <t>Jarabe gourmet monin - black raspberry 1lt</t>
        </is>
      </c>
      <c r="C174" s="3" t="inlineStr">
        <is>
          <t>unidad</t>
        </is>
      </c>
      <c r="D174" s="3" t="inlineStr">
        <is>
          <t>Bebidas</t>
        </is>
      </c>
      <c r="E174" s="4" t="n">
        <v>13.2</v>
      </c>
    </row>
    <row r="175">
      <c r="A175" s="3" t="inlineStr">
        <is>
          <t>2bc865f0</t>
        </is>
      </c>
      <c r="B175" s="3" t="inlineStr">
        <is>
          <t>Jugo de Limon</t>
        </is>
      </c>
      <c r="C175" s="3" t="inlineStr">
        <is>
          <t>unidad</t>
        </is>
      </c>
      <c r="D175" s="3" t="inlineStr">
        <is>
          <t>Insumo Extras</t>
        </is>
      </c>
      <c r="E175" s="5" t="n">
        <v>0</v>
      </c>
    </row>
    <row r="176">
      <c r="A176" s="3" t="inlineStr">
        <is>
          <t>4f47cd15</t>
        </is>
      </c>
      <c r="B176" s="3" t="inlineStr">
        <is>
          <t>Ketchup caja 1000 sobres</t>
        </is>
      </c>
      <c r="C176" s="3" t="inlineStr">
        <is>
          <t>caja</t>
        </is>
      </c>
      <c r="D176" s="3" t="inlineStr">
        <is>
          <t>Salsas y Aderezos</t>
        </is>
      </c>
      <c r="E176" s="5" t="n">
        <v>0</v>
      </c>
    </row>
    <row r="177">
      <c r="A177" s="3" t="inlineStr">
        <is>
          <t>70bcfaed</t>
        </is>
      </c>
      <c r="B177" s="3" t="inlineStr">
        <is>
          <t>Ketchup MC Cormick Portion Pack 1000/8g</t>
        </is>
      </c>
      <c r="C177" s="3" t="inlineStr">
        <is>
          <t>sobre</t>
        </is>
      </c>
      <c r="D177" s="3" t="inlineStr">
        <is>
          <t>Insumo Papas</t>
        </is>
      </c>
      <c r="E177" s="4" t="n">
        <v>0.02391</v>
      </c>
    </row>
    <row r="178">
      <c r="A178" s="3" t="inlineStr">
        <is>
          <t>f8969d9d</t>
        </is>
      </c>
      <c r="B178" s="3" t="inlineStr">
        <is>
          <t>Kit kat chocolate polvo npro 6x1.3 kg</t>
        </is>
      </c>
      <c r="C178" s="3" t="inlineStr">
        <is>
          <t>unidad</t>
        </is>
      </c>
      <c r="D178" s="3" t="inlineStr">
        <is>
          <t>Insumos</t>
        </is>
      </c>
      <c r="E178" s="4" t="n">
        <v>26.61</v>
      </c>
    </row>
    <row r="179">
      <c r="A179" s="3" t="inlineStr">
        <is>
          <t>0115a15d</t>
        </is>
      </c>
      <c r="B179" s="3" t="inlineStr">
        <is>
          <t>Kolashampan lata fardo 24 unidades</t>
        </is>
      </c>
      <c r="C179" s="3" t="inlineStr">
        <is>
          <t>fardo</t>
        </is>
      </c>
      <c r="D179" s="3" t="inlineStr">
        <is>
          <t>Bebidas</t>
        </is>
      </c>
      <c r="E179" s="4" t="n">
        <v>0.2581125</v>
      </c>
    </row>
    <row r="180">
      <c r="A180" s="3" t="inlineStr">
        <is>
          <t>b8f16259</t>
        </is>
      </c>
      <c r="B180" s="3" t="inlineStr">
        <is>
          <t>La Clasica</t>
        </is>
      </c>
      <c r="C180" s="3" t="inlineStr">
        <is>
          <t>porcion</t>
        </is>
      </c>
      <c r="D180" s="3" t="inlineStr">
        <is>
          <t>Producto Terminado</t>
        </is>
      </c>
      <c r="E180" s="5" t="n">
        <v>0</v>
      </c>
    </row>
    <row r="181">
      <c r="A181" s="3" t="inlineStr">
        <is>
          <t>79752afe</t>
        </is>
      </c>
      <c r="B181" s="3" t="inlineStr">
        <is>
          <t>LECHUGA</t>
        </is>
      </c>
      <c r="C181" s="3" t="inlineStr">
        <is>
          <t>unidad</t>
        </is>
      </c>
      <c r="D181" s="3" t="inlineStr">
        <is>
          <t>INSUMO</t>
        </is>
      </c>
      <c r="E181" s="4" t="n">
        <v>3.0352</v>
      </c>
    </row>
    <row r="182">
      <c r="A182" s="3" t="inlineStr">
        <is>
          <t>47636c35</t>
        </is>
      </c>
      <c r="B182" s="3" t="inlineStr">
        <is>
          <t>Lechuga libra escarolada</t>
        </is>
      </c>
      <c r="C182" s="3" t="inlineStr">
        <is>
          <t>lb</t>
        </is>
      </c>
      <c r="D182" s="3" t="inlineStr">
        <is>
          <t>Insumos</t>
        </is>
      </c>
      <c r="E182" s="4" t="n">
        <v>1.5</v>
      </c>
    </row>
    <row r="183">
      <c r="A183" s="3" t="inlineStr">
        <is>
          <t>18a77e80</t>
        </is>
      </c>
      <c r="B183" s="3" t="inlineStr">
        <is>
          <t>Lejia paquete BlancoSol 12 unidades</t>
        </is>
      </c>
      <c r="C183" s="3" t="inlineStr">
        <is>
          <t>paquete</t>
        </is>
      </c>
      <c r="D183" s="3" t="inlineStr">
        <is>
          <t>Utensilios de Limpieza</t>
        </is>
      </c>
      <c r="E183" s="5" t="n">
        <v>0</v>
      </c>
    </row>
    <row r="184">
      <c r="A184" s="3" t="inlineStr">
        <is>
          <t>03743420</t>
        </is>
      </c>
      <c r="B184" s="3" t="inlineStr">
        <is>
          <t>Limones</t>
        </is>
      </c>
      <c r="C184" s="3" t="inlineStr">
        <is>
          <t>unidad</t>
        </is>
      </c>
      <c r="D184" s="3" t="inlineStr">
        <is>
          <t>Insumo</t>
        </is>
      </c>
      <c r="E184" s="4" t="n">
        <v>0.4109980360649884</v>
      </c>
    </row>
    <row r="185">
      <c r="A185" s="3" t="inlineStr">
        <is>
          <t>c21a68d9</t>
        </is>
      </c>
      <c r="B185" s="3" t="inlineStr">
        <is>
          <t>LINER 39 MM</t>
        </is>
      </c>
      <c r="C185" s="3" t="inlineStr">
        <is>
          <t>unidad</t>
        </is>
      </c>
      <c r="D185" s="3" t="inlineStr">
        <is>
          <t>Insumos</t>
        </is>
      </c>
      <c r="E185" s="4" t="n">
        <v>0.02</v>
      </c>
    </row>
    <row r="186">
      <c r="A186" s="3" t="inlineStr">
        <is>
          <t>97fa7f8c</t>
        </is>
      </c>
      <c r="B186" s="3" t="inlineStr">
        <is>
          <t>Lk max-20 lts</t>
        </is>
      </c>
      <c r="C186" s="3" t="inlineStr">
        <is>
          <t>litro</t>
        </is>
      </c>
      <c r="D186" s="3" t="inlineStr">
        <is>
          <t>Quimico</t>
        </is>
      </c>
      <c r="E186" s="4" t="n">
        <v>122.65</v>
      </c>
    </row>
    <row r="187">
      <c r="A187" s="3" t="inlineStr">
        <is>
          <t>5a9dca60</t>
        </is>
      </c>
      <c r="B187" s="3" t="inlineStr">
        <is>
          <t>LK-KLEEN 20 LTS</t>
        </is>
      </c>
      <c r="C187" s="3" t="inlineStr">
        <is>
          <t>unidad</t>
        </is>
      </c>
      <c r="D187" s="3" t="inlineStr">
        <is>
          <t>Insumos</t>
        </is>
      </c>
      <c r="E187" s="4" t="n">
        <v>99</v>
      </c>
    </row>
    <row r="188">
      <c r="A188" s="3" t="inlineStr">
        <is>
          <t>ca3d10fc</t>
        </is>
      </c>
      <c r="B188" s="3" t="inlineStr">
        <is>
          <t>Líquido para piso ALK CLEAN 1 galón</t>
        </is>
      </c>
      <c r="C188" s="3" t="inlineStr">
        <is>
          <t>galón</t>
        </is>
      </c>
      <c r="D188" s="3" t="inlineStr">
        <is>
          <t>Utensilios de Limpieza</t>
        </is>
      </c>
      <c r="E188" s="5" t="n">
        <v>0</v>
      </c>
    </row>
    <row r="189">
      <c r="A189" s="3" t="inlineStr">
        <is>
          <t>4c861847</t>
        </is>
      </c>
      <c r="B189" s="3" t="inlineStr">
        <is>
          <t>Líquido para plancha BLITZ 1 galón</t>
        </is>
      </c>
      <c r="C189" s="3" t="inlineStr">
        <is>
          <t>galón</t>
        </is>
      </c>
      <c r="D189" s="3" t="inlineStr">
        <is>
          <t>Utensilios de Limpieza</t>
        </is>
      </c>
      <c r="E189" s="5" t="n">
        <v>0</v>
      </c>
    </row>
    <row r="190">
      <c r="A190" s="3" t="inlineStr">
        <is>
          <t>b260436c</t>
        </is>
      </c>
      <c r="B190" s="3" t="inlineStr">
        <is>
          <t>M63. New York Café</t>
        </is>
      </c>
      <c r="C190" s="3" t="inlineStr">
        <is>
          <t>lb</t>
        </is>
      </c>
      <c r="D190" s="3" t="inlineStr">
        <is>
          <t>Carnes</t>
        </is>
      </c>
      <c r="E190" s="4" t="n">
        <v>5</v>
      </c>
    </row>
    <row r="191">
      <c r="A191" s="3" t="inlineStr">
        <is>
          <t>b0db1350</t>
        </is>
      </c>
      <c r="B191" s="3" t="inlineStr">
        <is>
          <t>MANDIL AMARILLO SÚPER TUFF/201040</t>
        </is>
      </c>
      <c r="C191" s="3" t="inlineStr">
        <is>
          <t>unidad</t>
        </is>
      </c>
      <c r="D191" s="3" t="inlineStr">
        <is>
          <t>Insumos</t>
        </is>
      </c>
      <c r="E191" s="4" t="n">
        <v>27.21</v>
      </c>
    </row>
    <row r="192">
      <c r="A192" s="3" t="inlineStr">
        <is>
          <t>ee776e16</t>
        </is>
      </c>
      <c r="B192" s="3" t="inlineStr">
        <is>
          <t>MANDILES ROJO SUPER TIFF /201038</t>
        </is>
      </c>
      <c r="C192" s="3" t="inlineStr">
        <is>
          <t>unidad</t>
        </is>
      </c>
      <c r="D192" s="3" t="inlineStr">
        <is>
          <t>Insumos</t>
        </is>
      </c>
      <c r="E192" s="4" t="n">
        <v>27.21</v>
      </c>
    </row>
    <row r="193">
      <c r="A193" s="3" t="inlineStr">
        <is>
          <t>d80774ca</t>
        </is>
      </c>
      <c r="B193" s="3" t="inlineStr">
        <is>
          <t>Mano de obra armado Adivina la Marca</t>
        </is>
      </c>
      <c r="C193" s="3" t="inlineStr">
        <is>
          <t>unidad</t>
        </is>
      </c>
      <c r="D193" s="3" t="inlineStr">
        <is>
          <t>Mano de Obra</t>
        </is>
      </c>
      <c r="E193" s="4" t="n">
        <v>0.75</v>
      </c>
    </row>
    <row r="194">
      <c r="A194" s="3" t="inlineStr">
        <is>
          <t>86e98dba</t>
        </is>
      </c>
      <c r="B194" s="3" t="inlineStr">
        <is>
          <t>Margarina Country Crock unidad</t>
        </is>
      </c>
      <c r="C194" s="3" t="inlineStr">
        <is>
          <t>unidad</t>
        </is>
      </c>
      <c r="D194" s="3" t="inlineStr">
        <is>
          <t>Quesos y Lácteos</t>
        </is>
      </c>
      <c r="E194" s="5" t="n">
        <v>0</v>
      </c>
    </row>
    <row r="195">
      <c r="A195" s="3" t="inlineStr">
        <is>
          <t>46713027</t>
        </is>
      </c>
      <c r="B195" s="3" t="inlineStr">
        <is>
          <t>Mayonesa caja 900 sobres</t>
        </is>
      </c>
      <c r="C195" s="3" t="inlineStr">
        <is>
          <t>caja</t>
        </is>
      </c>
      <c r="D195" s="3" t="inlineStr">
        <is>
          <t>Salsas y Aderezos</t>
        </is>
      </c>
      <c r="E195" s="5" t="n">
        <v>0</v>
      </c>
    </row>
    <row r="196">
      <c r="A196" s="3" t="inlineStr">
        <is>
          <t>4d6ae5c8</t>
        </is>
      </c>
      <c r="B196" s="3" t="inlineStr">
        <is>
          <t>Mayonesa Hellmanns bote</t>
        </is>
      </c>
      <c r="C196" s="3" t="inlineStr">
        <is>
          <t>caja</t>
        </is>
      </c>
      <c r="D196" s="3" t="inlineStr">
        <is>
          <t>Salsas y Aderezos</t>
        </is>
      </c>
      <c r="E196" s="5" t="n">
        <v>0</v>
      </c>
    </row>
    <row r="197">
      <c r="A197" s="3" t="inlineStr">
        <is>
          <t>cb0ea163</t>
        </is>
      </c>
      <c r="B197" s="3" t="inlineStr">
        <is>
          <t>Mayonesa Hellmans Real</t>
        </is>
      </c>
      <c r="C197" s="3" t="inlineStr">
        <is>
          <t>oz</t>
        </is>
      </c>
      <c r="D197" s="3" t="inlineStr">
        <is>
          <t>Insumo Cocina</t>
        </is>
      </c>
      <c r="E197" s="4" t="n">
        <v>0.106351096315376</v>
      </c>
    </row>
    <row r="198">
      <c r="A198" s="3" t="inlineStr">
        <is>
          <t>56fa2a6c</t>
        </is>
      </c>
      <c r="B198" s="3" t="inlineStr">
        <is>
          <t>Mayonesa MC Mcormick 900 X9 GRS Sobres</t>
        </is>
      </c>
      <c r="C198" s="3" t="inlineStr">
        <is>
          <t>sobre</t>
        </is>
      </c>
      <c r="D198" s="3" t="inlineStr">
        <is>
          <t>Insumo Papas</t>
        </is>
      </c>
      <c r="E198" s="4" t="n">
        <v>0.03296666666666666</v>
      </c>
    </row>
    <row r="199">
      <c r="A199" s="3" t="inlineStr">
        <is>
          <t>82f29254</t>
        </is>
      </c>
      <c r="B199" s="3" t="inlineStr">
        <is>
          <t>Mega Promo</t>
        </is>
      </c>
      <c r="C199" s="3" t="inlineStr">
        <is>
          <t>porcion</t>
        </is>
      </c>
      <c r="D199" s="3" t="inlineStr">
        <is>
          <t>Producto Terminado</t>
        </is>
      </c>
      <c r="E199" s="5" t="n">
        <v>0</v>
      </c>
    </row>
    <row r="200">
      <c r="A200" s="3" t="inlineStr">
        <is>
          <t>d4627645</t>
        </is>
      </c>
      <c r="B200" s="3" t="inlineStr">
        <is>
          <t>Mermelada bolsa</t>
        </is>
      </c>
      <c r="C200" s="3" t="inlineStr">
        <is>
          <t>bolsa</t>
        </is>
      </c>
      <c r="D200" s="3" t="inlineStr">
        <is>
          <t>Carnes y Complementos</t>
        </is>
      </c>
      <c r="E200" s="5" t="n">
        <v>0</v>
      </c>
    </row>
    <row r="201">
      <c r="A201" s="3" t="inlineStr">
        <is>
          <t>6399f9e9</t>
        </is>
      </c>
      <c r="B201" s="3" t="inlineStr">
        <is>
          <t>Mermelada de Tocino</t>
        </is>
      </c>
      <c r="C201" s="3" t="inlineStr">
        <is>
          <t>tanda</t>
        </is>
      </c>
      <c r="D201" s="3" t="inlineStr">
        <is>
          <t>Sub Producto</t>
        </is>
      </c>
      <c r="E201" s="5" t="n">
        <v>0</v>
      </c>
    </row>
    <row r="202">
      <c r="A202" s="3" t="inlineStr">
        <is>
          <t>dce41e0a</t>
        </is>
      </c>
      <c r="B202" s="3" t="inlineStr">
        <is>
          <t>Miel de Maple</t>
        </is>
      </c>
      <c r="C202" s="3" t="inlineStr">
        <is>
          <t>taza</t>
        </is>
      </c>
      <c r="D202" s="3" t="inlineStr">
        <is>
          <t>Insumo Extras</t>
        </is>
      </c>
      <c r="E202" s="5" t="n">
        <v>0</v>
      </c>
    </row>
    <row r="203">
      <c r="A203" s="3" t="inlineStr">
        <is>
          <t>374cd9a1</t>
        </is>
      </c>
      <c r="B203" s="3" t="inlineStr">
        <is>
          <t>Mil islas bolsa</t>
        </is>
      </c>
      <c r="C203" s="3" t="inlineStr">
        <is>
          <t>bolsa</t>
        </is>
      </c>
      <c r="D203" s="3" t="inlineStr">
        <is>
          <t>Salsas y Aderezos</t>
        </is>
      </c>
      <c r="E203" s="5" t="n">
        <v>0</v>
      </c>
    </row>
    <row r="204">
      <c r="A204" s="3" t="inlineStr">
        <is>
          <t>5aa7cf6b</t>
        </is>
      </c>
      <c r="B204" s="3" t="inlineStr">
        <is>
          <t>Mini Fancy</t>
        </is>
      </c>
      <c r="C204" s="3" t="inlineStr">
        <is>
          <t>porcion</t>
        </is>
      </c>
      <c r="D204" s="3" t="inlineStr">
        <is>
          <t>Sub Producto</t>
        </is>
      </c>
      <c r="E204" s="5" t="n">
        <v>0</v>
      </c>
    </row>
    <row r="205">
      <c r="A205" s="3" t="inlineStr">
        <is>
          <t>0b01ac2c</t>
        </is>
      </c>
      <c r="B205" s="3" t="inlineStr">
        <is>
          <t>Mini fancys unidad</t>
        </is>
      </c>
      <c r="C205" s="3" t="inlineStr">
        <is>
          <t>unidad</t>
        </is>
      </c>
      <c r="D205" s="3" t="inlineStr">
        <is>
          <t>Papas y Congelados</t>
        </is>
      </c>
      <c r="E205" s="5" t="n">
        <v>0</v>
      </c>
    </row>
    <row r="206">
      <c r="A206" s="3" t="inlineStr">
        <is>
          <t>8a76f49f</t>
        </is>
      </c>
      <c r="B206" s="3" t="inlineStr">
        <is>
          <t>Molida  80/20</t>
        </is>
      </c>
      <c r="C206" s="3" t="inlineStr">
        <is>
          <t>lb</t>
        </is>
      </c>
      <c r="D206" s="3" t="inlineStr">
        <is>
          <t>Carnes</t>
        </is>
      </c>
      <c r="E206" s="4" t="n">
        <v>3.521835445941864</v>
      </c>
    </row>
    <row r="207">
      <c r="A207" s="3" t="inlineStr">
        <is>
          <t>c48a7c16</t>
        </is>
      </c>
      <c r="B207" s="3" t="inlineStr">
        <is>
          <t>Molida 90/10</t>
        </is>
      </c>
      <c r="C207" s="3" t="inlineStr">
        <is>
          <t>lb</t>
        </is>
      </c>
      <c r="D207" s="3" t="inlineStr">
        <is>
          <t>Insumo Hamburguesa</t>
        </is>
      </c>
      <c r="E207" s="4" t="n">
        <v>2.65</v>
      </c>
    </row>
    <row r="208">
      <c r="A208" s="3" t="inlineStr">
        <is>
          <t>4b937d39</t>
        </is>
      </c>
      <c r="B208" s="3" t="inlineStr">
        <is>
          <t>Mostaza caja 1000 sobres</t>
        </is>
      </c>
      <c r="C208" s="3" t="inlineStr">
        <is>
          <t>caja</t>
        </is>
      </c>
      <c r="D208" s="3" t="inlineStr">
        <is>
          <t>Salsas y Aderezos</t>
        </is>
      </c>
      <c r="E208" s="5" t="n">
        <v>0</v>
      </c>
    </row>
    <row r="209">
      <c r="A209" s="3" t="inlineStr">
        <is>
          <t>1d56737d</t>
        </is>
      </c>
      <c r="B209" s="3" t="inlineStr">
        <is>
          <t>Mostaza Dijon Chardonay GL 2X105OZ</t>
        </is>
      </c>
      <c r="C209" s="3" t="inlineStr">
        <is>
          <t>oz</t>
        </is>
      </c>
      <c r="D209" s="3" t="inlineStr">
        <is>
          <t>Insumo Papas</t>
        </is>
      </c>
      <c r="E209" s="4" t="n">
        <v>0.033</v>
      </c>
    </row>
    <row r="210">
      <c r="A210" s="3" t="inlineStr">
        <is>
          <t>7a2941ea</t>
        </is>
      </c>
      <c r="B210" s="3" t="inlineStr">
        <is>
          <t>Mostaza MC Cormick Galon Bolsa</t>
        </is>
      </c>
      <c r="C210" s="3" t="inlineStr">
        <is>
          <t>ml</t>
        </is>
      </c>
      <c r="D210" s="3" t="inlineStr">
        <is>
          <t>Insumo Papas</t>
        </is>
      </c>
      <c r="E210" s="4" t="n">
        <v>0.001453104359313078</v>
      </c>
    </row>
    <row r="211">
      <c r="A211" s="3" t="inlineStr">
        <is>
          <t>a481f122</t>
        </is>
      </c>
      <c r="B211" s="3" t="inlineStr">
        <is>
          <t>Mostaza Sobres MC Macormick 1000/6gr</t>
        </is>
      </c>
      <c r="C211" s="3" t="inlineStr">
        <is>
          <t>Unidad</t>
        </is>
      </c>
      <c r="D211" s="3" t="inlineStr">
        <is>
          <t>Insumo Papas</t>
        </is>
      </c>
      <c r="E211" s="4" t="n">
        <v>24.88</v>
      </c>
    </row>
    <row r="212">
      <c r="A212" s="3" t="inlineStr">
        <is>
          <t>499018dd</t>
        </is>
      </c>
      <c r="B212" s="3" t="inlineStr">
        <is>
          <t>Mozzarella Rebanado 5lbs</t>
        </is>
      </c>
      <c r="C212" s="3" t="inlineStr">
        <is>
          <t>lb</t>
        </is>
      </c>
      <c r="D212" s="3" t="inlineStr">
        <is>
          <t>Insumo Hamburguesa</t>
        </is>
      </c>
      <c r="E212" s="4" t="n">
        <v>3.45</v>
      </c>
    </row>
    <row r="213">
      <c r="A213" s="3" t="inlineStr">
        <is>
          <t>0679e651</t>
        </is>
      </c>
      <c r="B213" s="3" t="inlineStr">
        <is>
          <t>MQ LAC Procesado Reb AM C 1.4kg/3lb</t>
        </is>
      </c>
      <c r="C213" s="3" t="inlineStr">
        <is>
          <t>lb</t>
        </is>
      </c>
      <c r="D213" s="3" t="inlineStr">
        <is>
          <t>Insumo Hamburguesa</t>
        </is>
      </c>
      <c r="E213" s="4" t="n">
        <v>2.44184028634905</v>
      </c>
    </row>
    <row r="214">
      <c r="A214" s="3" t="inlineStr">
        <is>
          <t>537754b7</t>
        </is>
      </c>
      <c r="B214" s="3" t="inlineStr">
        <is>
          <t>Mydibel papa clasica</t>
        </is>
      </c>
      <c r="C214" s="3" t="inlineStr">
        <is>
          <t>unidad</t>
        </is>
      </c>
      <c r="D214" s="3" t="inlineStr">
        <is>
          <t>Insumo</t>
        </is>
      </c>
      <c r="E214" s="4" t="n">
        <v>22.12186083880597</v>
      </c>
    </row>
    <row r="215">
      <c r="A215" s="3" t="inlineStr">
        <is>
          <t>9312f81f</t>
        </is>
      </c>
      <c r="B215" s="3" t="inlineStr">
        <is>
          <t>Nescafé Alegría Cappuccino S/A 4x1 kg. N1</t>
        </is>
      </c>
      <c r="C215" s="3" t="inlineStr">
        <is>
          <t>unidad</t>
        </is>
      </c>
      <c r="D215" s="3" t="inlineStr">
        <is>
          <t>Insumos</t>
        </is>
      </c>
      <c r="E215" s="4" t="n">
        <v>30.26</v>
      </c>
    </row>
    <row r="216">
      <c r="A216" s="3" t="inlineStr">
        <is>
          <t>593c093f</t>
        </is>
      </c>
      <c r="B216" s="3" t="inlineStr">
        <is>
          <t>Nescafé cap original 6x750 GRS</t>
        </is>
      </c>
      <c r="C216" s="3" t="inlineStr">
        <is>
          <t>unidad</t>
        </is>
      </c>
      <c r="D216" s="3" t="inlineStr">
        <is>
          <t>Insumos</t>
        </is>
      </c>
      <c r="E216" s="4" t="n">
        <v>32.14</v>
      </c>
    </row>
    <row r="217">
      <c r="A217" s="3" t="inlineStr">
        <is>
          <t>d0ae1260</t>
        </is>
      </c>
      <c r="B217" s="3" t="inlineStr">
        <is>
          <t>Nescafé Cat Vainilla 6x750 GRS</t>
        </is>
      </c>
      <c r="C217" s="3" t="inlineStr">
        <is>
          <t>unidad</t>
        </is>
      </c>
      <c r="D217" s="3" t="inlineStr">
        <is>
          <t>Insumos</t>
        </is>
      </c>
      <c r="E217" s="4" t="n">
        <v>24.53</v>
      </c>
    </row>
    <row r="218">
      <c r="A218" s="3" t="inlineStr">
        <is>
          <t>d2c8d108</t>
        </is>
      </c>
      <c r="B218" s="3" t="inlineStr">
        <is>
          <t>Nescafé en granos 6x1 kg Nestlé</t>
        </is>
      </c>
      <c r="C218" s="3" t="inlineStr">
        <is>
          <t>unidad</t>
        </is>
      </c>
      <c r="D218" s="3" t="inlineStr">
        <is>
          <t>Insumos</t>
        </is>
      </c>
      <c r="E218" s="4" t="n">
        <v>35.58</v>
      </c>
    </row>
    <row r="219">
      <c r="A219" s="3" t="inlineStr">
        <is>
          <t>212d1b46</t>
        </is>
      </c>
      <c r="B219" s="3" t="inlineStr">
        <is>
          <t>New York Corte Argentino</t>
        </is>
      </c>
      <c r="C219" s="3" t="inlineStr">
        <is>
          <t>lb</t>
        </is>
      </c>
      <c r="D219" s="3" t="inlineStr">
        <is>
          <t>Insumo Hamburguesa</t>
        </is>
      </c>
      <c r="E219" s="4" t="n">
        <v>5.825385432976377</v>
      </c>
    </row>
    <row r="220">
      <c r="A220" s="3" t="inlineStr">
        <is>
          <t>ec9c1495</t>
        </is>
      </c>
      <c r="B220" s="3" t="inlineStr">
        <is>
          <t>Nuca de cerdo</t>
        </is>
      </c>
      <c r="C220" s="3" t="inlineStr">
        <is>
          <t>unidad</t>
        </is>
      </c>
      <c r="D220" s="3" t="inlineStr">
        <is>
          <t>Insumo</t>
        </is>
      </c>
      <c r="E220" s="4" t="n">
        <v>2.25</v>
      </c>
    </row>
    <row r="221">
      <c r="A221" s="3" t="inlineStr">
        <is>
          <t>0d089bf3</t>
        </is>
      </c>
      <c r="B221" s="3" t="inlineStr">
        <is>
          <t>Nutkao Nutella galón</t>
        </is>
      </c>
      <c r="C221" s="3" t="inlineStr">
        <is>
          <t>galón</t>
        </is>
      </c>
      <c r="D221" s="3" t="inlineStr">
        <is>
          <t>Salsas y Aderezos</t>
        </is>
      </c>
      <c r="E221" s="5" t="n">
        <v>0</v>
      </c>
    </row>
    <row r="222">
      <c r="A222" s="3" t="inlineStr">
        <is>
          <t>de898f30</t>
        </is>
      </c>
      <c r="B222" s="3" t="inlineStr">
        <is>
          <t>P075-ACEITE CILINDRO LA PALMA 25 BOT.</t>
        </is>
      </c>
      <c r="C222" s="3" t="inlineStr">
        <is>
          <t>unidad</t>
        </is>
      </c>
      <c r="D222" s="3" t="inlineStr">
        <is>
          <t>Insumos</t>
        </is>
      </c>
      <c r="E222" s="4" t="n">
        <v>31.25</v>
      </c>
    </row>
    <row r="223">
      <c r="A223" s="3" t="inlineStr">
        <is>
          <t>f76fe83f</t>
        </is>
      </c>
      <c r="B223" s="3" t="inlineStr">
        <is>
          <t>P076-ACEITE CILINDRO LA PALMA 25 BOT</t>
        </is>
      </c>
      <c r="C223" s="3" t="inlineStr">
        <is>
          <t>unidad</t>
        </is>
      </c>
      <c r="D223" s="3" t="inlineStr">
        <is>
          <t>Insumos</t>
        </is>
      </c>
      <c r="E223" s="4" t="n">
        <v>31.25</v>
      </c>
    </row>
    <row r="224">
      <c r="A224" s="3" t="inlineStr">
        <is>
          <t>209ff2a7</t>
        </is>
      </c>
      <c r="B224" s="3" t="inlineStr">
        <is>
          <t>Pajilla forrada paquete 12 bolsitas</t>
        </is>
      </c>
      <c r="C224" s="3" t="inlineStr">
        <is>
          <t>paquete</t>
        </is>
      </c>
      <c r="D224" s="3" t="inlineStr">
        <is>
          <t>Empaques y Desechables</t>
        </is>
      </c>
      <c r="E224" s="5" t="n">
        <v>0</v>
      </c>
    </row>
    <row r="225">
      <c r="A225" s="3" t="inlineStr">
        <is>
          <t>4eea6d84</t>
        </is>
      </c>
      <c r="B225" s="3" t="inlineStr">
        <is>
          <t>Pan de Hamburguesa Brioche 2.8oz</t>
        </is>
      </c>
      <c r="C225" s="3" t="inlineStr">
        <is>
          <t>unidad</t>
        </is>
      </c>
      <c r="D225" s="3" t="inlineStr">
        <is>
          <t>Insumo Hamburguesa</t>
        </is>
      </c>
      <c r="E225" s="4" t="n">
        <v>0.3783525384615384</v>
      </c>
    </row>
    <row r="226">
      <c r="A226" s="3" t="inlineStr">
        <is>
          <t>ab97879c</t>
        </is>
      </c>
      <c r="B226" s="3" t="inlineStr">
        <is>
          <t>Pan de Hamburguesa Brioche bolsa 12 unidades</t>
        </is>
      </c>
      <c r="C226" s="3" t="inlineStr">
        <is>
          <t>bolsa</t>
        </is>
      </c>
      <c r="D226" s="3" t="inlineStr">
        <is>
          <t>Panes</t>
        </is>
      </c>
      <c r="E226" s="4" t="n">
        <v>4.56</v>
      </c>
    </row>
    <row r="227">
      <c r="A227" s="3" t="inlineStr">
        <is>
          <t>b50aec31</t>
        </is>
      </c>
      <c r="B227" s="3" t="inlineStr">
        <is>
          <t>Pan de Hot Dog Brioche 2.2oz</t>
        </is>
      </c>
      <c r="C227" s="3" t="inlineStr">
        <is>
          <t>unidad</t>
        </is>
      </c>
      <c r="D227" s="3" t="inlineStr">
        <is>
          <t>Insumo Hamburguesa</t>
        </is>
      </c>
      <c r="E227" s="4" t="n">
        <v>0.3296578784530387</v>
      </c>
    </row>
    <row r="228">
      <c r="A228" s="3" t="inlineStr">
        <is>
          <t>fe2f6f88</t>
        </is>
      </c>
      <c r="B228" s="3" t="inlineStr">
        <is>
          <t>Pan de Hot Dog Brioche bolsa 48 unidades</t>
        </is>
      </c>
      <c r="C228" s="3" t="inlineStr">
        <is>
          <t>bolsa</t>
        </is>
      </c>
      <c r="D228" s="3" t="inlineStr">
        <is>
          <t>Panes</t>
        </is>
      </c>
      <c r="E228" s="4" t="n">
        <v>15.84</v>
      </c>
    </row>
    <row r="229">
      <c r="A229" s="3" t="inlineStr">
        <is>
          <t>85021170</t>
        </is>
      </c>
      <c r="B229" s="3" t="inlineStr">
        <is>
          <t>Pan HOT DOG 10X60 GR</t>
        </is>
      </c>
      <c r="C229" s="3" t="inlineStr">
        <is>
          <t>Unidad</t>
        </is>
      </c>
      <c r="D229" s="3" t="inlineStr">
        <is>
          <t>Insumo Hotdog</t>
        </is>
      </c>
      <c r="E229" s="4" t="n">
        <v>1.42</v>
      </c>
    </row>
    <row r="230">
      <c r="A230" s="3" t="inlineStr">
        <is>
          <t>6b453347</t>
        </is>
      </c>
      <c r="B230" s="3" t="inlineStr">
        <is>
          <t>Pan HOT DOG Berna 10X60 GR</t>
        </is>
      </c>
      <c r="C230" s="3" t="inlineStr">
        <is>
          <t>unidad</t>
        </is>
      </c>
      <c r="D230" s="3" t="inlineStr">
        <is>
          <t>Insumo Hotdog</t>
        </is>
      </c>
      <c r="E230" s="4" t="n">
        <v>0.142</v>
      </c>
    </row>
    <row r="231">
      <c r="A231" s="3" t="inlineStr">
        <is>
          <t>e9d21e70</t>
        </is>
      </c>
      <c r="B231" s="3" t="inlineStr">
        <is>
          <t>Pan Hot Dog Berna bolsa 10 unidades</t>
        </is>
      </c>
      <c r="C231" s="3" t="inlineStr">
        <is>
          <t>bolsa</t>
        </is>
      </c>
      <c r="D231" s="3" t="inlineStr">
        <is>
          <t>Panes</t>
        </is>
      </c>
      <c r="E231" s="4" t="n">
        <v>1.42</v>
      </c>
    </row>
    <row r="232">
      <c r="A232" s="3" t="inlineStr">
        <is>
          <t>0edc4843</t>
        </is>
      </c>
      <c r="B232" s="3" t="inlineStr">
        <is>
          <t>Papa Blanca</t>
        </is>
      </c>
      <c r="C232" s="3" t="inlineStr">
        <is>
          <t>porcion</t>
        </is>
      </c>
      <c r="D232" s="3" t="inlineStr">
        <is>
          <t>Sub Producto</t>
        </is>
      </c>
      <c r="E232" s="5" t="n">
        <v>0</v>
      </c>
    </row>
    <row r="233">
      <c r="A233" s="3" t="inlineStr">
        <is>
          <t>08ee1496</t>
        </is>
      </c>
      <c r="B233" s="3" t="inlineStr">
        <is>
          <t>Papa Blanca 20lb</t>
        </is>
      </c>
      <c r="C233" s="3" t="inlineStr">
        <is>
          <t>lb</t>
        </is>
      </c>
      <c r="D233" s="3" t="inlineStr">
        <is>
          <t>Papas y Congelados</t>
        </is>
      </c>
      <c r="E233" s="4" t="n">
        <v>1.003533240043545</v>
      </c>
    </row>
    <row r="234">
      <c r="A234" s="3" t="inlineStr">
        <is>
          <t>04bd4148</t>
        </is>
      </c>
      <c r="B234" s="3" t="inlineStr">
        <is>
          <t>Papa Sazonada</t>
        </is>
      </c>
      <c r="C234" s="3" t="inlineStr">
        <is>
          <t>porcion</t>
        </is>
      </c>
      <c r="D234" s="3" t="inlineStr">
        <is>
          <t>Sub Producto</t>
        </is>
      </c>
      <c r="E234" s="5" t="n">
        <v>0</v>
      </c>
    </row>
    <row r="235">
      <c r="A235" s="3" t="inlineStr">
        <is>
          <t>3c9f72f7</t>
        </is>
      </c>
      <c r="B235" s="3" t="inlineStr">
        <is>
          <t>Papa Sazonadas 30lb</t>
        </is>
      </c>
      <c r="C235" s="3" t="inlineStr">
        <is>
          <t>libra</t>
        </is>
      </c>
      <c r="D235" s="3" t="inlineStr">
        <is>
          <t>Papas y Congelados</t>
        </is>
      </c>
      <c r="E235" s="4" t="n">
        <v>1.266666666666667</v>
      </c>
    </row>
    <row r="236">
      <c r="A236" s="3" t="inlineStr">
        <is>
          <t>c3a0697a</t>
        </is>
      </c>
      <c r="B236" s="3" t="inlineStr">
        <is>
          <t>Papa Waffle</t>
        </is>
      </c>
      <c r="C236" s="3" t="inlineStr">
        <is>
          <t>libra</t>
        </is>
      </c>
      <c r="D236" s="3" t="inlineStr">
        <is>
          <t>Sub Producto</t>
        </is>
      </c>
      <c r="E236" s="4" t="n">
        <v>1.645185185185185</v>
      </c>
    </row>
    <row r="237">
      <c r="A237" s="3" t="inlineStr">
        <is>
          <t>45c837d5</t>
        </is>
      </c>
      <c r="B237" s="3" t="inlineStr">
        <is>
          <t>Papa Waffle 27LB</t>
        </is>
      </c>
      <c r="C237" s="3" t="inlineStr">
        <is>
          <t>lb</t>
        </is>
      </c>
      <c r="D237" s="3" t="inlineStr">
        <is>
          <t>Papas y Congelados</t>
        </is>
      </c>
      <c r="E237" s="4" t="n">
        <v>1.642336153519932</v>
      </c>
    </row>
    <row r="238">
      <c r="A238" s="3" t="inlineStr">
        <is>
          <t>ae412eec</t>
        </is>
      </c>
      <c r="B238" s="3" t="inlineStr">
        <is>
          <t>Papel aluminio paquete</t>
        </is>
      </c>
      <c r="C238" s="3" t="inlineStr">
        <is>
          <t>paquete</t>
        </is>
      </c>
      <c r="D238" s="3" t="inlineStr">
        <is>
          <t>Empaques y Desechables</t>
        </is>
      </c>
      <c r="E238" s="5" t="n">
        <v>0</v>
      </c>
    </row>
    <row r="239">
      <c r="A239" s="3" t="inlineStr">
        <is>
          <t>00157979</t>
        </is>
      </c>
      <c r="B239" s="3" t="inlineStr">
        <is>
          <t>Papel brandeado paquete 500 hojas</t>
        </is>
      </c>
      <c r="C239" s="3" t="inlineStr">
        <is>
          <t>unidad</t>
        </is>
      </c>
      <c r="D239" s="3" t="inlineStr">
        <is>
          <t>Empaques y Desechables</t>
        </is>
      </c>
      <c r="E239" s="4" t="n">
        <v>0.013</v>
      </c>
    </row>
    <row r="240">
      <c r="A240" s="3" t="inlineStr">
        <is>
          <t>96bfdc87</t>
        </is>
      </c>
      <c r="B240" s="3" t="inlineStr">
        <is>
          <t>Papel Toalla caja 6 unidades</t>
        </is>
      </c>
      <c r="C240" s="3" t="inlineStr">
        <is>
          <t>caja</t>
        </is>
      </c>
      <c r="D240" s="3" t="inlineStr">
        <is>
          <t>Empaques y Desechables</t>
        </is>
      </c>
      <c r="E240" s="5" t="n">
        <v>0</v>
      </c>
    </row>
    <row r="241">
      <c r="A241" s="3" t="inlineStr">
        <is>
          <t>7d5d92c3</t>
        </is>
      </c>
      <c r="B241" s="3" t="inlineStr">
        <is>
          <t>Papel Toalla Center Pull</t>
        </is>
      </c>
      <c r="C241" s="3" t="inlineStr">
        <is>
          <t>caja</t>
        </is>
      </c>
      <c r="D241" s="3" t="inlineStr">
        <is>
          <t>Insumos</t>
        </is>
      </c>
      <c r="E241" s="4" t="n">
        <v>29</v>
      </c>
    </row>
    <row r="242">
      <c r="A242" s="3" t="inlineStr">
        <is>
          <t>d5f43260</t>
        </is>
      </c>
      <c r="B242" s="3" t="inlineStr">
        <is>
          <t>Papel Toalla HD Blanco Reflex 180 mts</t>
        </is>
      </c>
      <c r="C242" s="3" t="inlineStr">
        <is>
          <t>Caja</t>
        </is>
      </c>
      <c r="D242" s="3" t="inlineStr">
        <is>
          <t>Insumo Limpieza</t>
        </is>
      </c>
      <c r="E242" s="4" t="n">
        <v>37.68</v>
      </c>
    </row>
    <row r="243">
      <c r="A243" s="3" t="inlineStr">
        <is>
          <t>9cce4485</t>
        </is>
      </c>
      <c r="B243" s="3" t="inlineStr">
        <is>
          <t>Paq de pajillas natural forrada 75 u</t>
        </is>
      </c>
      <c r="C243" s="3" t="inlineStr">
        <is>
          <t>unidad</t>
        </is>
      </c>
      <c r="D243" s="3" t="inlineStr">
        <is>
          <t>Insumos</t>
        </is>
      </c>
      <c r="E243" s="4" t="n">
        <v>0.31</v>
      </c>
    </row>
    <row r="244">
      <c r="A244" s="3" t="inlineStr">
        <is>
          <t>d354fa31</t>
        </is>
      </c>
      <c r="B244" s="3" t="inlineStr">
        <is>
          <t>PENTAQUAT-20 LTS</t>
        </is>
      </c>
      <c r="C244" s="3" t="inlineStr">
        <is>
          <t>unidad</t>
        </is>
      </c>
      <c r="D244" s="3" t="inlineStr">
        <is>
          <t>Químicos</t>
        </is>
      </c>
      <c r="E244" s="4" t="n">
        <v>120.34</v>
      </c>
    </row>
    <row r="245">
      <c r="A245" s="3" t="inlineStr">
        <is>
          <t>e717dd5d</t>
        </is>
      </c>
      <c r="B245" s="3" t="inlineStr">
        <is>
          <t>Peperonchini en vinagre bolsa</t>
        </is>
      </c>
      <c r="C245" s="3" t="inlineStr">
        <is>
          <t>bolsa</t>
        </is>
      </c>
      <c r="D245" s="3" t="inlineStr">
        <is>
          <t>Vegetales y Verduras</t>
        </is>
      </c>
      <c r="E245" s="5" t="n">
        <v>0</v>
      </c>
    </row>
    <row r="246">
      <c r="A246" s="3" t="inlineStr">
        <is>
          <t>f9981d1e</t>
        </is>
      </c>
      <c r="B246" s="3" t="inlineStr">
        <is>
          <t>Pepinillo para burguer bote</t>
        </is>
      </c>
      <c r="C246" s="3" t="inlineStr">
        <is>
          <t>bote</t>
        </is>
      </c>
      <c r="D246" s="3" t="inlineStr">
        <is>
          <t>Vegetales y Verduras</t>
        </is>
      </c>
      <c r="E246" s="5" t="n">
        <v>0</v>
      </c>
    </row>
    <row r="247">
      <c r="A247" s="3" t="inlineStr">
        <is>
          <t>1b80893e</t>
        </is>
      </c>
      <c r="B247" s="3" t="inlineStr">
        <is>
          <t>Pepinillo triturado bote</t>
        </is>
      </c>
      <c r="C247" s="3" t="inlineStr">
        <is>
          <t>bote</t>
        </is>
      </c>
      <c r="D247" s="3" t="inlineStr">
        <is>
          <t>Vegetales y Verduras</t>
        </is>
      </c>
      <c r="E247" s="5" t="n">
        <v>0</v>
      </c>
    </row>
    <row r="248">
      <c r="A248" s="3" t="inlineStr">
        <is>
          <t>4bc617dd</t>
        </is>
      </c>
      <c r="B248" s="3" t="inlineStr">
        <is>
          <t>Pepinillos Rebanados</t>
        </is>
      </c>
      <c r="C248" s="3" t="inlineStr">
        <is>
          <t>porcion</t>
        </is>
      </c>
      <c r="D248" s="3" t="inlineStr">
        <is>
          <t>Sub Producto</t>
        </is>
      </c>
      <c r="E248" s="5" t="n">
        <v>0</v>
      </c>
    </row>
    <row r="249">
      <c r="A249" s="3" t="inlineStr">
        <is>
          <t>e9bb2881</t>
        </is>
      </c>
      <c r="B249" s="3" t="inlineStr">
        <is>
          <t>Pepperonchini Monteverde ESCURRIDO (caja 8x2.2 kg bruto = 14.08 kg neto)</t>
        </is>
      </c>
      <c r="C249" s="3" t="inlineStr">
        <is>
          <t>kg</t>
        </is>
      </c>
      <c r="D249" s="3" t="inlineStr">
        <is>
          <t>Insumo Hamburguesa</t>
        </is>
      </c>
      <c r="E249" s="4" t="n">
        <v>0.5234375</v>
      </c>
    </row>
    <row r="250">
      <c r="A250" s="3" t="inlineStr">
        <is>
          <t>3a2e84fd</t>
        </is>
      </c>
      <c r="B250" s="3" t="inlineStr">
        <is>
          <t>Pilsener Burger Box</t>
        </is>
      </c>
      <c r="C250" s="3" t="inlineStr">
        <is>
          <t>porcion</t>
        </is>
      </c>
      <c r="D250" s="3" t="inlineStr">
        <is>
          <t>Producto Terminado</t>
        </is>
      </c>
      <c r="E250" s="5" t="n">
        <v>0</v>
      </c>
    </row>
    <row r="251">
      <c r="A251" s="3" t="inlineStr">
        <is>
          <t>d2da5988</t>
        </is>
      </c>
      <c r="B251" s="3" t="inlineStr">
        <is>
          <t>Pilsener Freakie Burger</t>
        </is>
      </c>
      <c r="C251" s="3" t="inlineStr">
        <is>
          <t>porcion</t>
        </is>
      </c>
      <c r="D251" s="3" t="inlineStr">
        <is>
          <t>Producto Terminado</t>
        </is>
      </c>
      <c r="E251" s="5" t="n">
        <v>0</v>
      </c>
    </row>
    <row r="252">
      <c r="A252" s="3" t="inlineStr">
        <is>
          <t>d2d82304</t>
        </is>
      </c>
      <c r="B252" s="3" t="inlineStr">
        <is>
          <t>Pimienta Molida bote 453 gr</t>
        </is>
      </c>
      <c r="C252" s="3" t="inlineStr">
        <is>
          <t>bote</t>
        </is>
      </c>
      <c r="D252" s="3" t="inlineStr">
        <is>
          <t>Salsas y Aderezos</t>
        </is>
      </c>
      <c r="E252" s="5" t="n">
        <v>0</v>
      </c>
    </row>
    <row r="253">
      <c r="A253" s="3" t="inlineStr">
        <is>
          <t>adaadee8</t>
        </is>
      </c>
      <c r="B253" s="3" t="inlineStr">
        <is>
          <t>Pimienta negra molida Bolsa 1 lb</t>
        </is>
      </c>
      <c r="C253" s="3" t="inlineStr">
        <is>
          <t>unidad</t>
        </is>
      </c>
      <c r="D253" s="3" t="inlineStr">
        <is>
          <t>Insumos</t>
        </is>
      </c>
      <c r="E253" s="4" t="n">
        <v>6.5</v>
      </c>
    </row>
    <row r="254">
      <c r="A254" s="3" t="inlineStr">
        <is>
          <t>5ff2bb53</t>
        </is>
      </c>
      <c r="B254" s="3" t="inlineStr">
        <is>
          <t>Plastico Transparente film 18x2000</t>
        </is>
      </c>
      <c r="C254" s="3" t="inlineStr">
        <is>
          <t>paquete</t>
        </is>
      </c>
      <c r="D254" s="3" t="inlineStr">
        <is>
          <t>Empaques y Desechables</t>
        </is>
      </c>
      <c r="E254" s="5" t="n">
        <v>0</v>
      </c>
    </row>
    <row r="255">
      <c r="A255" s="3" t="inlineStr">
        <is>
          <t>691d4390</t>
        </is>
      </c>
      <c r="B255" s="3" t="inlineStr">
        <is>
          <t>Pliego ag freakydogs</t>
        </is>
      </c>
      <c r="C255" s="3" t="inlineStr">
        <is>
          <t>unidad</t>
        </is>
      </c>
      <c r="D255" s="3" t="inlineStr">
        <is>
          <t>Insumos</t>
        </is>
      </c>
      <c r="E255" s="4" t="n">
        <v>0.013</v>
      </c>
    </row>
    <row r="256">
      <c r="A256" s="3" t="inlineStr">
        <is>
          <t>d5eb6450</t>
        </is>
      </c>
      <c r="B256" s="3" t="inlineStr">
        <is>
          <t>Pliego de papel kraft</t>
        </is>
      </c>
      <c r="C256" s="3" t="inlineStr">
        <is>
          <t>pliego</t>
        </is>
      </c>
      <c r="D256" s="3" t="inlineStr">
        <is>
          <t>Extras</t>
        </is>
      </c>
      <c r="E256" s="5" t="n">
        <v>0</v>
      </c>
    </row>
    <row r="257">
      <c r="A257" s="3" t="inlineStr">
        <is>
          <t>ae9a4f30</t>
        </is>
      </c>
      <c r="B257" s="3" t="inlineStr">
        <is>
          <t>Pliego de stickers para domicilio</t>
        </is>
      </c>
      <c r="C257" s="3" t="inlineStr">
        <is>
          <t>unidad</t>
        </is>
      </c>
      <c r="D257" s="3" t="inlineStr">
        <is>
          <t>Extras</t>
        </is>
      </c>
      <c r="E257" s="4" t="n">
        <v>0.08117626224561404</v>
      </c>
    </row>
    <row r="258">
      <c r="A258" s="3" t="inlineStr">
        <is>
          <t>c6159b28</t>
        </is>
      </c>
      <c r="B258" s="3" t="inlineStr">
        <is>
          <t>Polipel rollo fardo</t>
        </is>
      </c>
      <c r="C258" s="3" t="inlineStr">
        <is>
          <t>unidad</t>
        </is>
      </c>
      <c r="D258" s="3" t="inlineStr">
        <is>
          <t>Desechables</t>
        </is>
      </c>
      <c r="E258" s="4" t="n">
        <v>46.56059230769231</v>
      </c>
    </row>
    <row r="259">
      <c r="A259" s="3" t="inlineStr">
        <is>
          <t>7ad492df</t>
        </is>
      </c>
      <c r="B259" s="3" t="inlineStr">
        <is>
          <t>Polipel unidad</t>
        </is>
      </c>
      <c r="C259" s="3" t="inlineStr">
        <is>
          <t>unidad</t>
        </is>
      </c>
      <c r="D259" s="3" t="inlineStr">
        <is>
          <t>Empaques y Desechables</t>
        </is>
      </c>
      <c r="E259" s="5" t="n">
        <v>0</v>
      </c>
    </row>
    <row r="260">
      <c r="A260" s="3" t="inlineStr">
        <is>
          <t>d566301a</t>
        </is>
      </c>
      <c r="B260" s="3" t="inlineStr">
        <is>
          <t>Polvo de Hongo</t>
        </is>
      </c>
      <c r="C260" s="3" t="inlineStr">
        <is>
          <t>cucharadita</t>
        </is>
      </c>
      <c r="D260" s="3" t="inlineStr">
        <is>
          <t>Insumo Cocina</t>
        </is>
      </c>
      <c r="E260" s="5" t="n">
        <v>0</v>
      </c>
    </row>
    <row r="261">
      <c r="A261" s="3" t="inlineStr">
        <is>
          <t>8dfa351f</t>
        </is>
      </c>
      <c r="B261" s="3" t="inlineStr">
        <is>
          <t>Polvo de truffa bote</t>
        </is>
      </c>
      <c r="C261" s="3" t="inlineStr">
        <is>
          <t>bote</t>
        </is>
      </c>
      <c r="D261" s="3" t="inlineStr">
        <is>
          <t>Salsas y Aderezos</t>
        </is>
      </c>
      <c r="E261" s="5" t="n">
        <v>0</v>
      </c>
    </row>
    <row r="262">
      <c r="A262" s="3" t="inlineStr">
        <is>
          <t>f1bdb179</t>
        </is>
      </c>
      <c r="B262" s="3" t="inlineStr">
        <is>
          <t>Producto con nombre TOCINO</t>
        </is>
      </c>
      <c r="C262" s="3" t="inlineStr">
        <is>
          <t>kg</t>
        </is>
      </c>
      <c r="D262" s="3" t="inlineStr">
        <is>
          <t>Carnes</t>
        </is>
      </c>
      <c r="E262" s="4" t="n">
        <v>7.097639090909091</v>
      </c>
    </row>
    <row r="263">
      <c r="A263" s="3" t="inlineStr">
        <is>
          <t>c4c060e0</t>
        </is>
      </c>
      <c r="B263" s="3" t="inlineStr">
        <is>
          <t>Puree monin - maracuya</t>
        </is>
      </c>
      <c r="C263" s="3" t="inlineStr">
        <is>
          <t>unidad</t>
        </is>
      </c>
      <c r="D263" s="3" t="inlineStr">
        <is>
          <t>Bebidas</t>
        </is>
      </c>
      <c r="E263" s="4" t="n">
        <v>20</v>
      </c>
    </row>
    <row r="264">
      <c r="A264" s="3" t="inlineStr">
        <is>
          <t>88111010</t>
        </is>
      </c>
      <c r="B264" s="3" t="inlineStr">
        <is>
          <t>Puyazo Corte Argentino</t>
        </is>
      </c>
      <c r="C264" s="3" t="inlineStr">
        <is>
          <t>lb</t>
        </is>
      </c>
      <c r="D264" s="3" t="inlineStr">
        <is>
          <t>Insumo Hamburguesa</t>
        </is>
      </c>
      <c r="E264" s="4" t="n">
        <v>5.272572970867303</v>
      </c>
    </row>
    <row r="265">
      <c r="A265" s="3" t="inlineStr">
        <is>
          <t>7a3bc4fa</t>
        </is>
      </c>
      <c r="B265" s="3" t="inlineStr">
        <is>
          <t>Queso amarillo paquete 1.4 kg</t>
        </is>
      </c>
      <c r="C265" s="3" t="inlineStr">
        <is>
          <t>paquete</t>
        </is>
      </c>
      <c r="D265" s="3" t="inlineStr">
        <is>
          <t>Quesos y Lácteos</t>
        </is>
      </c>
      <c r="E265" s="5" t="n">
        <v>0</v>
      </c>
    </row>
    <row r="266">
      <c r="A266" s="3" t="inlineStr">
        <is>
          <t>acf080da</t>
        </is>
      </c>
      <c r="B266" s="3" t="inlineStr">
        <is>
          <t>Queso Duro Viejo Aserrin bolsa 1.5kg</t>
        </is>
      </c>
      <c r="C266" s="3" t="inlineStr">
        <is>
          <t>bolsa</t>
        </is>
      </c>
      <c r="D266" s="3" t="inlineStr">
        <is>
          <t>Quesos y Lácteos</t>
        </is>
      </c>
      <c r="E266" s="5" t="n">
        <v>0</v>
      </c>
    </row>
    <row r="267">
      <c r="A267" s="3" t="inlineStr">
        <is>
          <t>9e00b30d</t>
        </is>
      </c>
      <c r="B267" s="3" t="inlineStr">
        <is>
          <t xml:space="preserve">Queso frito </t>
        </is>
      </c>
      <c r="C267" s="3" t="inlineStr">
        <is>
          <t>unidad</t>
        </is>
      </c>
      <c r="D267" s="3" t="inlineStr">
        <is>
          <t>Sub Producto</t>
        </is>
      </c>
      <c r="E267" s="5" t="n">
        <v>0</v>
      </c>
    </row>
    <row r="268">
      <c r="A268" s="3" t="inlineStr">
        <is>
          <t>d7e03839</t>
        </is>
      </c>
      <c r="B268" s="3" t="inlineStr">
        <is>
          <t>Queso mozzarella de costra paquete 5 lbs</t>
        </is>
      </c>
      <c r="C268" s="3" t="inlineStr">
        <is>
          <t>lb</t>
        </is>
      </c>
      <c r="D268" s="3" t="inlineStr">
        <is>
          <t>Quesos y Lácteos</t>
        </is>
      </c>
      <c r="E268" s="4" t="n">
        <v>3.45</v>
      </c>
    </row>
    <row r="269">
      <c r="A269" s="3" t="inlineStr">
        <is>
          <t>287ba92f</t>
        </is>
      </c>
      <c r="B269" s="3" t="inlineStr">
        <is>
          <t>Queso para dorar</t>
        </is>
      </c>
      <c r="C269" s="3" t="inlineStr">
        <is>
          <t>lb</t>
        </is>
      </c>
      <c r="D269" s="3" t="inlineStr">
        <is>
          <t>Insumo Extras</t>
        </is>
      </c>
      <c r="E269" s="4" t="n">
        <v>3.985726352941176</v>
      </c>
    </row>
    <row r="270">
      <c r="A270" s="3" t="inlineStr">
        <is>
          <t>a2c65b67</t>
        </is>
      </c>
      <c r="B270" s="3" t="inlineStr">
        <is>
          <t>Queso Parmesano Block 2.27kg</t>
        </is>
      </c>
      <c r="C270" s="3" t="inlineStr">
        <is>
          <t>kg</t>
        </is>
      </c>
      <c r="D270" s="3" t="inlineStr">
        <is>
          <t>Quesos y Lácteos</t>
        </is>
      </c>
      <c r="E270" s="4" t="n">
        <v>16.0352422907489</v>
      </c>
    </row>
    <row r="271">
      <c r="A271" s="3" t="inlineStr">
        <is>
          <t>e6b536f7</t>
        </is>
      </c>
      <c r="B271" s="3" t="inlineStr">
        <is>
          <t>Ralladura de Limon</t>
        </is>
      </c>
      <c r="C271" s="3" t="inlineStr">
        <is>
          <t>unidad</t>
        </is>
      </c>
      <c r="D271" s="3" t="inlineStr">
        <is>
          <t>Insumo Extras</t>
        </is>
      </c>
      <c r="E271" s="5" t="n">
        <v>0</v>
      </c>
    </row>
    <row r="272">
      <c r="A272" s="3" t="inlineStr">
        <is>
          <t>8960c32d</t>
        </is>
      </c>
      <c r="B272" s="3" t="inlineStr">
        <is>
          <t>Ranch 1 Galon</t>
        </is>
      </c>
      <c r="C272" s="3" t="inlineStr">
        <is>
          <t>oz</t>
        </is>
      </c>
      <c r="D272" s="3" t="inlineStr">
        <is>
          <t>Insumo Cocina</t>
        </is>
      </c>
      <c r="E272" s="4" t="n">
        <v>0.08500000000000001</v>
      </c>
    </row>
    <row r="273">
      <c r="A273" s="3" t="inlineStr">
        <is>
          <t>20553389</t>
        </is>
      </c>
      <c r="B273" s="3" t="inlineStr">
        <is>
          <t>Ranch Porcionado</t>
        </is>
      </c>
      <c r="C273" s="3" t="inlineStr">
        <is>
          <t>bote</t>
        </is>
      </c>
      <c r="D273" s="3" t="inlineStr">
        <is>
          <t>Sub Producto</t>
        </is>
      </c>
      <c r="E273" s="5" t="n">
        <v>0</v>
      </c>
    </row>
    <row r="274">
      <c r="A274" s="3" t="inlineStr">
        <is>
          <t>18671fe3</t>
        </is>
      </c>
      <c r="B274" s="3" t="inlineStr">
        <is>
          <t>Redecillas caja 144 unidades</t>
        </is>
      </c>
      <c r="C274" s="3" t="inlineStr">
        <is>
          <t>caja</t>
        </is>
      </c>
      <c r="D274" s="3" t="inlineStr">
        <is>
          <t>Empaques y Desechables</t>
        </is>
      </c>
      <c r="E274" s="5" t="n">
        <v>0</v>
      </c>
    </row>
    <row r="275">
      <c r="A275" s="3" t="inlineStr">
        <is>
          <t>199c893d</t>
        </is>
      </c>
      <c r="B275" s="3" t="inlineStr">
        <is>
          <t>Regia 750ml VR X12</t>
        </is>
      </c>
      <c r="C275" s="3" t="inlineStr">
        <is>
          <t>Caja</t>
        </is>
      </c>
      <c r="D275" s="3" t="inlineStr">
        <is>
          <t>Insumo Cervezas</t>
        </is>
      </c>
      <c r="E275" s="4" t="n">
        <v>19.47</v>
      </c>
    </row>
    <row r="276">
      <c r="A276" s="3" t="inlineStr">
        <is>
          <t>e6dbd444</t>
        </is>
      </c>
      <c r="B276" s="3" t="inlineStr">
        <is>
          <t>Rollo de papel térmico unidad</t>
        </is>
      </c>
      <c r="C276" s="3" t="inlineStr">
        <is>
          <t>unidad</t>
        </is>
      </c>
      <c r="D276" s="3" t="inlineStr">
        <is>
          <t>Extras</t>
        </is>
      </c>
      <c r="E276" s="5" t="n">
        <v>0</v>
      </c>
    </row>
    <row r="277">
      <c r="A277" s="3" t="inlineStr">
        <is>
          <t>20ba3b87</t>
        </is>
      </c>
      <c r="B277" s="3" t="inlineStr">
        <is>
          <t>Rollos para POS y PEYA unidad</t>
        </is>
      </c>
      <c r="C277" s="3" t="inlineStr">
        <is>
          <t>unidad</t>
        </is>
      </c>
      <c r="D277" s="3" t="inlineStr">
        <is>
          <t>Extras</t>
        </is>
      </c>
      <c r="E277" s="5" t="n">
        <v>0</v>
      </c>
    </row>
    <row r="278">
      <c r="A278" s="3" t="inlineStr">
        <is>
          <t>a8518f2e</t>
        </is>
      </c>
      <c r="B278" s="3" t="inlineStr">
        <is>
          <t>S70 POLI(1.5X1")</t>
        </is>
      </c>
      <c r="C278" s="3" t="inlineStr">
        <is>
          <t>unidad</t>
        </is>
      </c>
      <c r="D278" s="3" t="inlineStr">
        <is>
          <t>Insumos</t>
        </is>
      </c>
      <c r="E278" s="4" t="n">
        <v>2.6</v>
      </c>
    </row>
    <row r="279">
      <c r="A279" s="3" t="inlineStr">
        <is>
          <t>de622773</t>
        </is>
      </c>
      <c r="B279" s="3" t="inlineStr">
        <is>
          <t>Saco cebolla blanca</t>
        </is>
      </c>
      <c r="C279" s="3" t="inlineStr">
        <is>
          <t>unidad</t>
        </is>
      </c>
      <c r="D279" s="3" t="inlineStr">
        <is>
          <t>Insumo</t>
        </is>
      </c>
      <c r="E279" s="4" t="n">
        <v>41.66887417218543</v>
      </c>
    </row>
    <row r="280">
      <c r="A280" s="3" t="inlineStr">
        <is>
          <t>f41aa115</t>
        </is>
      </c>
      <c r="B280" s="3" t="inlineStr">
        <is>
          <t>Sal de hamburguesa bolsa 2 lbs</t>
        </is>
      </c>
      <c r="C280" s="3" t="inlineStr">
        <is>
          <t>bolsa</t>
        </is>
      </c>
      <c r="D280" s="3" t="inlineStr">
        <is>
          <t>Salsas y Aderezos</t>
        </is>
      </c>
      <c r="E280" s="5" t="n">
        <v>0</v>
      </c>
    </row>
    <row r="281">
      <c r="A281" s="3" t="inlineStr">
        <is>
          <t>abd73635</t>
        </is>
      </c>
      <c r="B281" s="3" t="inlineStr">
        <is>
          <t>Sal fina (arroba 25 lb)</t>
        </is>
      </c>
      <c r="C281" s="3" t="inlineStr">
        <is>
          <t>g</t>
        </is>
      </c>
      <c r="D281" s="3" t="inlineStr">
        <is>
          <t>Insumo Hamburguesa</t>
        </is>
      </c>
      <c r="E281" s="4" t="n">
        <v>0.0005467468562055768</v>
      </c>
    </row>
    <row r="282">
      <c r="A282" s="3" t="inlineStr">
        <is>
          <t>8b9a1a62</t>
        </is>
      </c>
      <c r="B282" s="3" t="inlineStr">
        <is>
          <t>Sal Fina La Economica</t>
        </is>
      </c>
      <c r="C282" s="3" t="inlineStr">
        <is>
          <t>Paquete</t>
        </is>
      </c>
      <c r="D282" s="3" t="inlineStr">
        <is>
          <t>Insumo Despacho</t>
        </is>
      </c>
      <c r="E282" s="4" t="n">
        <v>5.31</v>
      </c>
    </row>
    <row r="283">
      <c r="A283" s="3" t="inlineStr">
        <is>
          <t>adf17165</t>
        </is>
      </c>
      <c r="B283" s="3" t="inlineStr">
        <is>
          <t>Sal fina libriada fardo</t>
        </is>
      </c>
      <c r="C283" s="3" t="inlineStr">
        <is>
          <t>paquete</t>
        </is>
      </c>
      <c r="D283" s="3" t="inlineStr">
        <is>
          <t>Insumos</t>
        </is>
      </c>
      <c r="E283" s="4" t="n">
        <v>5.76</v>
      </c>
    </row>
    <row r="284">
      <c r="A284" s="3" t="inlineStr">
        <is>
          <t>a4a7b644</t>
        </is>
      </c>
      <c r="B284" s="3" t="inlineStr">
        <is>
          <t>Salchicha Parowsi paquete 25 unidades</t>
        </is>
      </c>
      <c r="C284" s="3" t="inlineStr">
        <is>
          <t>paquete</t>
        </is>
      </c>
      <c r="D284" s="3" t="inlineStr">
        <is>
          <t>Carnes y Complementos</t>
        </is>
      </c>
      <c r="E284" s="5" t="n">
        <v>0</v>
      </c>
    </row>
    <row r="285">
      <c r="A285" s="3" t="inlineStr">
        <is>
          <t>9929c7fd</t>
        </is>
      </c>
      <c r="B285" s="3" t="inlineStr">
        <is>
          <t>Salchicha Parowski</t>
        </is>
      </c>
      <c r="C285" s="3" t="inlineStr">
        <is>
          <t>unidad</t>
        </is>
      </c>
      <c r="D285" s="3" t="inlineStr">
        <is>
          <t>Insumo Hotdog</t>
        </is>
      </c>
      <c r="E285" s="4" t="n">
        <v>0.33</v>
      </c>
    </row>
    <row r="286">
      <c r="A286" s="3" t="inlineStr">
        <is>
          <t>112013f8</t>
        </is>
      </c>
      <c r="B286" s="3" t="inlineStr">
        <is>
          <t>Salsa barbacoa</t>
        </is>
      </c>
      <c r="C286" s="3" t="inlineStr">
        <is>
          <t>oz</t>
        </is>
      </c>
      <c r="D286" s="3" t="inlineStr">
        <is>
          <t>Insumo</t>
        </is>
      </c>
      <c r="E286" s="4" t="n">
        <v>0.08255813953488372</v>
      </c>
    </row>
    <row r="287">
      <c r="A287" s="3" t="inlineStr">
        <is>
          <t>963dbc92</t>
        </is>
      </c>
      <c r="B287" s="3" t="inlineStr">
        <is>
          <t>Salsa jalisco caja 500 sobres</t>
        </is>
      </c>
      <c r="C287" s="3" t="inlineStr">
        <is>
          <t>caja</t>
        </is>
      </c>
      <c r="D287" s="3" t="inlineStr">
        <is>
          <t>Salsas y Aderezos</t>
        </is>
      </c>
      <c r="E287" s="5" t="n">
        <v>0</v>
      </c>
    </row>
    <row r="288">
      <c r="A288" s="3" t="inlineStr">
        <is>
          <t>f731c1cd</t>
        </is>
      </c>
      <c r="B288" s="3" t="inlineStr">
        <is>
          <t>Salsa Ketchup galón caja de 4 bolsas</t>
        </is>
      </c>
      <c r="C288" s="3" t="inlineStr">
        <is>
          <t>caja</t>
        </is>
      </c>
      <c r="D288" s="3" t="inlineStr">
        <is>
          <t>Salsas y Aderezos</t>
        </is>
      </c>
      <c r="E288" s="5" t="n">
        <v>0</v>
      </c>
    </row>
    <row r="289">
      <c r="A289" s="3" t="inlineStr">
        <is>
          <t>7f4862e2</t>
        </is>
      </c>
      <c r="B289" s="3" t="inlineStr">
        <is>
          <t>Salsa monin - caramelo salado</t>
        </is>
      </c>
      <c r="C289" s="3" t="inlineStr">
        <is>
          <t>unidad</t>
        </is>
      </c>
      <c r="D289" s="3" t="inlineStr">
        <is>
          <t>Bebidas</t>
        </is>
      </c>
      <c r="E289" s="4" t="n">
        <v>26.5</v>
      </c>
    </row>
    <row r="290">
      <c r="A290" s="3" t="inlineStr">
        <is>
          <t>13b1f9f5</t>
        </is>
      </c>
      <c r="B290" s="3" t="inlineStr">
        <is>
          <t>Salsa Siracha</t>
        </is>
      </c>
      <c r="C290" s="3" t="inlineStr">
        <is>
          <t>cucharada</t>
        </is>
      </c>
      <c r="D290" s="3" t="inlineStr">
        <is>
          <t>Salsas y Aderezos</t>
        </is>
      </c>
      <c r="E290" s="5" t="n">
        <v>0</v>
      </c>
    </row>
    <row r="291">
      <c r="A291" s="3" t="inlineStr">
        <is>
          <t>6ebde5cc</t>
        </is>
      </c>
      <c r="B291" s="3" t="inlineStr">
        <is>
          <t>Sazonador Completo MCCormick 2kgs Bolsa</t>
        </is>
      </c>
      <c r="C291" s="3" t="inlineStr">
        <is>
          <t>g</t>
        </is>
      </c>
      <c r="D291" s="3" t="inlineStr">
        <is>
          <t>Insumo Papas</t>
        </is>
      </c>
      <c r="E291" s="4" t="n">
        <v>0.007545</v>
      </c>
    </row>
    <row r="292">
      <c r="A292" s="3" t="inlineStr">
        <is>
          <t>15329eaa</t>
        </is>
      </c>
      <c r="B292" s="3" t="inlineStr">
        <is>
          <t>Servilleta caja 12 paquetes</t>
        </is>
      </c>
      <c r="C292" s="3" t="inlineStr">
        <is>
          <t>caja</t>
        </is>
      </c>
      <c r="D292" s="3" t="inlineStr">
        <is>
          <t>Empaques y Desechables</t>
        </is>
      </c>
      <c r="E292" s="5" t="n">
        <v>0</v>
      </c>
    </row>
    <row r="293">
      <c r="A293" s="3" t="inlineStr">
        <is>
          <t>c4c53fde</t>
        </is>
      </c>
      <c r="B293" s="3" t="inlineStr">
        <is>
          <t>Servilleta kleenex Interfoliada pop up</t>
        </is>
      </c>
      <c r="C293" s="3" t="inlineStr">
        <is>
          <t>caja</t>
        </is>
      </c>
      <c r="D293" s="3" t="inlineStr">
        <is>
          <t>Insumos</t>
        </is>
      </c>
      <c r="E293" s="4" t="n">
        <v>11</v>
      </c>
    </row>
    <row r="294">
      <c r="A294" s="3" t="inlineStr">
        <is>
          <t>3d1bfeee</t>
        </is>
      </c>
      <c r="B294" s="3" t="inlineStr">
        <is>
          <t>Servilleta XPRESS Nap Blanca 500 Hojas PE</t>
        </is>
      </c>
      <c r="C294" s="3" t="inlineStr">
        <is>
          <t>Paquete</t>
        </is>
      </c>
      <c r="D294" s="3" t="inlineStr">
        <is>
          <t>Insumo Limpieza</t>
        </is>
      </c>
      <c r="E294" s="4" t="n">
        <v>0.0054</v>
      </c>
    </row>
    <row r="295">
      <c r="A295" s="3" t="inlineStr">
        <is>
          <t>3a8564b8</t>
        </is>
      </c>
      <c r="B295" s="3" t="inlineStr">
        <is>
          <t>Simplot papa laticce 6/5</t>
        </is>
      </c>
      <c r="C295" s="3" t="inlineStr">
        <is>
          <t>unidad</t>
        </is>
      </c>
      <c r="D295" s="3" t="inlineStr">
        <is>
          <t>Insumo</t>
        </is>
      </c>
      <c r="E295" s="4" t="n">
        <v>41.74</v>
      </c>
    </row>
    <row r="296">
      <c r="A296" s="3" t="inlineStr">
        <is>
          <t>523d50a6</t>
        </is>
      </c>
      <c r="B296" s="3" t="inlineStr">
        <is>
          <t>SMOOTHIE MONIN-MANGO</t>
        </is>
      </c>
      <c r="C296" s="3" t="inlineStr">
        <is>
          <t>unidad</t>
        </is>
      </c>
      <c r="D296" s="3" t="inlineStr">
        <is>
          <t>INSUMO</t>
        </is>
      </c>
      <c r="E296" s="4" t="n">
        <v>13.5</v>
      </c>
    </row>
    <row r="297">
      <c r="A297" s="3" t="inlineStr">
        <is>
          <t>16d73527</t>
        </is>
      </c>
      <c r="B297" s="3" t="inlineStr">
        <is>
          <t>Stickers paquete 50 unidades</t>
        </is>
      </c>
      <c r="C297" s="3" t="inlineStr">
        <is>
          <t>paquete</t>
        </is>
      </c>
      <c r="D297" s="3" t="inlineStr">
        <is>
          <t>Extras</t>
        </is>
      </c>
      <c r="E297" s="5" t="n">
        <v>0</v>
      </c>
    </row>
    <row r="298">
      <c r="A298" s="3" t="inlineStr">
        <is>
          <t>b873145b</t>
        </is>
      </c>
      <c r="B298" s="3" t="inlineStr">
        <is>
          <t>STRECH FILM MANUAL</t>
        </is>
      </c>
      <c r="C298" s="3" t="inlineStr">
        <is>
          <t>unidad</t>
        </is>
      </c>
      <c r="D298" s="3" t="inlineStr">
        <is>
          <t>INSUMO</t>
        </is>
      </c>
      <c r="E298" s="4" t="n">
        <v>4.72</v>
      </c>
    </row>
    <row r="299">
      <c r="A299" s="3" t="inlineStr">
        <is>
          <t>c69bd6f7</t>
        </is>
      </c>
      <c r="B299" s="3" t="inlineStr">
        <is>
          <t>Super Freak</t>
        </is>
      </c>
      <c r="C299" s="3" t="inlineStr">
        <is>
          <t>porcion</t>
        </is>
      </c>
      <c r="D299" s="3" t="inlineStr">
        <is>
          <t>Producto Terminado</t>
        </is>
      </c>
      <c r="E299" s="5" t="n">
        <v>0</v>
      </c>
    </row>
    <row r="300">
      <c r="A300" s="3" t="inlineStr">
        <is>
          <t>1df1d8e5</t>
        </is>
      </c>
      <c r="B300" s="3" t="inlineStr">
        <is>
          <t>Sweat Freak</t>
        </is>
      </c>
      <c r="C300" s="3" t="inlineStr">
        <is>
          <t>porcion</t>
        </is>
      </c>
      <c r="D300" s="3" t="inlineStr">
        <is>
          <t>Producto Terminado</t>
        </is>
      </c>
      <c r="E300" s="5" t="n">
        <v>0</v>
      </c>
    </row>
    <row r="301">
      <c r="A301" s="3" t="inlineStr">
        <is>
          <t>3e6b7293</t>
        </is>
      </c>
      <c r="B301" s="3" t="inlineStr">
        <is>
          <t>Sweet Burger Duo</t>
        </is>
      </c>
      <c r="C301" s="3" t="inlineStr">
        <is>
          <t>porcion</t>
        </is>
      </c>
      <c r="D301" s="3" t="inlineStr">
        <is>
          <t>Producto Terminado</t>
        </is>
      </c>
      <c r="E301" s="5" t="n">
        <v>0</v>
      </c>
    </row>
    <row r="302">
      <c r="A302" s="3" t="inlineStr">
        <is>
          <t>0a317994</t>
        </is>
      </c>
      <c r="B302" s="3" t="inlineStr">
        <is>
          <t>Tapa Domo 16 oz PET Cristal</t>
        </is>
      </c>
      <c r="C302" s="3" t="inlineStr">
        <is>
          <t>Unidad</t>
        </is>
      </c>
      <c r="D302" s="3" t="inlineStr">
        <is>
          <t>Insumo Empaque</t>
        </is>
      </c>
      <c r="E302" s="4" t="n">
        <v>0.06</v>
      </c>
    </row>
    <row r="303">
      <c r="A303" s="3" t="inlineStr">
        <is>
          <t>22a48a89</t>
        </is>
      </c>
      <c r="B303" s="3" t="inlineStr">
        <is>
          <t>Tapa Strawless para vaso 12/16 oz</t>
        </is>
      </c>
      <c r="C303" s="3" t="inlineStr">
        <is>
          <t>unidad</t>
        </is>
      </c>
      <c r="D303" s="3" t="inlineStr">
        <is>
          <t>Insumo</t>
        </is>
      </c>
      <c r="E303" s="4" t="n">
        <v>0.03</v>
      </c>
    </row>
    <row r="304">
      <c r="A304" s="3" t="inlineStr">
        <is>
          <t>e62658b4</t>
        </is>
      </c>
      <c r="B304" s="3" t="inlineStr">
        <is>
          <t>Tapadera 2 onzas</t>
        </is>
      </c>
      <c r="C304" s="3" t="inlineStr">
        <is>
          <t>unidad</t>
        </is>
      </c>
      <c r="D304" s="3" t="inlineStr">
        <is>
          <t>Insumo</t>
        </is>
      </c>
      <c r="E304" s="4" t="n">
        <v>11.5</v>
      </c>
    </row>
    <row r="305">
      <c r="A305" s="3" t="inlineStr">
        <is>
          <t>e042438b</t>
        </is>
      </c>
      <c r="B305" s="3" t="inlineStr">
        <is>
          <t>Tapas de chili caja 1000 piezas</t>
        </is>
      </c>
      <c r="C305" s="3" t="inlineStr">
        <is>
          <t>caja</t>
        </is>
      </c>
      <c r="D305" s="3" t="inlineStr">
        <is>
          <t>Empaques y Desechables</t>
        </is>
      </c>
      <c r="E305" s="5" t="n">
        <v>0</v>
      </c>
    </row>
    <row r="306">
      <c r="A306" s="3" t="inlineStr">
        <is>
          <t>ac19b960</t>
        </is>
      </c>
      <c r="B306" s="3" t="inlineStr">
        <is>
          <t>Tapas de tocino caja 1000 piezas</t>
        </is>
      </c>
      <c r="C306" s="3" t="inlineStr">
        <is>
          <t>caja</t>
        </is>
      </c>
      <c r="D306" s="3" t="inlineStr">
        <is>
          <t>Empaques y Desechables</t>
        </is>
      </c>
      <c r="E306" s="5" t="n">
        <v>0</v>
      </c>
    </row>
    <row r="307">
      <c r="A307" s="3" t="inlineStr">
        <is>
          <t>0641b2b5</t>
        </is>
      </c>
      <c r="B307" s="3" t="inlineStr">
        <is>
          <t>TAPAS NESCAFÉ 8 OZ 10X100</t>
        </is>
      </c>
      <c r="C307" s="3" t="inlineStr">
        <is>
          <t>unidad</t>
        </is>
      </c>
      <c r="D307" s="3" t="inlineStr">
        <is>
          <t>Insumos</t>
        </is>
      </c>
      <c r="E307" s="4" t="n">
        <v>3.76</v>
      </c>
    </row>
    <row r="308">
      <c r="A308" s="3" t="inlineStr">
        <is>
          <t>03d89be2</t>
        </is>
      </c>
      <c r="B308" s="3" t="inlineStr">
        <is>
          <t>Te Lipton Durazno 340 Ml Lata</t>
        </is>
      </c>
      <c r="C308" s="3" t="inlineStr">
        <is>
          <t>Unidad</t>
        </is>
      </c>
      <c r="D308" s="3" t="inlineStr">
        <is>
          <t>Insumo Soda</t>
        </is>
      </c>
      <c r="E308" s="4" t="n">
        <v>13.36024390243902</v>
      </c>
    </row>
    <row r="309">
      <c r="A309" s="3" t="inlineStr">
        <is>
          <t>f51a9b37</t>
        </is>
      </c>
      <c r="B309" s="3" t="inlineStr">
        <is>
          <t>Te Lipton Durazno lata fardo 24 unidades</t>
        </is>
      </c>
      <c r="C309" s="3" t="inlineStr">
        <is>
          <t>fardo</t>
        </is>
      </c>
      <c r="D309" s="3" t="inlineStr">
        <is>
          <t>Bebidas</t>
        </is>
      </c>
      <c r="E309" s="4" t="n">
        <v>0.5567841666666666</v>
      </c>
    </row>
    <row r="310">
      <c r="A310" s="3" t="inlineStr">
        <is>
          <t>8f6cb6a4</t>
        </is>
      </c>
      <c r="B310" s="3" t="inlineStr">
        <is>
          <t>Te Lipton Frambuesa 340 Ml Lata</t>
        </is>
      </c>
      <c r="C310" s="3" t="inlineStr">
        <is>
          <t>Unidad</t>
        </is>
      </c>
      <c r="D310" s="3" t="inlineStr">
        <is>
          <t>Insumo Soda</t>
        </is>
      </c>
      <c r="E310" s="4" t="n">
        <v>13.36125308641975</v>
      </c>
    </row>
    <row r="311">
      <c r="A311" s="3" t="inlineStr">
        <is>
          <t>26b0a72f</t>
        </is>
      </c>
      <c r="B311" s="3" t="inlineStr">
        <is>
          <t>Te Lipton Frambuesa lata fardo 24 unidades</t>
        </is>
      </c>
      <c r="C311" s="3" t="inlineStr">
        <is>
          <t>fardo</t>
        </is>
      </c>
      <c r="D311" s="3" t="inlineStr">
        <is>
          <t>Bebidas</t>
        </is>
      </c>
      <c r="E311" s="4" t="n">
        <v>0.5567916666666667</v>
      </c>
    </row>
    <row r="312">
      <c r="A312" s="3" t="inlineStr">
        <is>
          <t>f210a6f3</t>
        </is>
      </c>
      <c r="B312" s="3" t="inlineStr">
        <is>
          <t>Te Lipton Lemon 340 Ml Lata</t>
        </is>
      </c>
      <c r="C312" s="3" t="inlineStr">
        <is>
          <t>Unidad</t>
        </is>
      </c>
      <c r="D312" s="3" t="inlineStr">
        <is>
          <t>Insumo Soda</t>
        </is>
      </c>
      <c r="E312" s="4" t="n">
        <v>13.3605</v>
      </c>
    </row>
    <row r="313">
      <c r="A313" s="3" t="inlineStr">
        <is>
          <t>ca39bf21</t>
        </is>
      </c>
      <c r="B313" s="3" t="inlineStr">
        <is>
          <t>Te Lipton Limón lata fardo 24 unidades</t>
        </is>
      </c>
      <c r="C313" s="3" t="inlineStr">
        <is>
          <t>fardo</t>
        </is>
      </c>
      <c r="D313" s="3" t="inlineStr">
        <is>
          <t>Bebidas</t>
        </is>
      </c>
      <c r="E313" s="4" t="n">
        <v>0.5567916666666667</v>
      </c>
    </row>
    <row r="314">
      <c r="A314" s="3" t="inlineStr">
        <is>
          <t>4caa7913</t>
        </is>
      </c>
      <c r="B314" s="3" t="inlineStr">
        <is>
          <t>tenedor gande superpac blanco 5x40x25</t>
        </is>
      </c>
      <c r="C314" s="3" t="inlineStr">
        <is>
          <t>unidad</t>
        </is>
      </c>
      <c r="D314" s="3" t="inlineStr">
        <is>
          <t>insumo</t>
        </is>
      </c>
      <c r="E314" s="4" t="n">
        <v>0.25</v>
      </c>
    </row>
    <row r="315">
      <c r="A315" s="3" t="inlineStr">
        <is>
          <t>147460af</t>
        </is>
      </c>
      <c r="B315" s="3" t="inlineStr">
        <is>
          <t>Tenedor pequeño paquete 24 bolsitas</t>
        </is>
      </c>
      <c r="C315" s="3" t="inlineStr">
        <is>
          <t>paquete</t>
        </is>
      </c>
      <c r="D315" s="3" t="inlineStr">
        <is>
          <t>Empaques y Desechables</t>
        </is>
      </c>
      <c r="E315" s="5" t="n">
        <v>0</v>
      </c>
    </row>
    <row r="316">
      <c r="A316" s="3" t="inlineStr">
        <is>
          <t>e6cd2777</t>
        </is>
      </c>
      <c r="B316" s="3" t="inlineStr">
        <is>
          <t>Tenedores grandes fardo -1000</t>
        </is>
      </c>
      <c r="C316" s="3" t="inlineStr">
        <is>
          <t>unidad</t>
        </is>
      </c>
      <c r="D316" s="3" t="inlineStr">
        <is>
          <t>Insumos</t>
        </is>
      </c>
      <c r="E316" s="4" t="n">
        <v>0.008849830508474576</v>
      </c>
    </row>
    <row r="317">
      <c r="A317" s="3" t="inlineStr">
        <is>
          <t>5628378b</t>
        </is>
      </c>
      <c r="B317" s="3" t="inlineStr">
        <is>
          <t>TOALLA DE MICROFIBRA MORADA</t>
        </is>
      </c>
      <c r="C317" s="3" t="inlineStr">
        <is>
          <t>unidad</t>
        </is>
      </c>
      <c r="D317" s="3" t="inlineStr">
        <is>
          <t>Insumos</t>
        </is>
      </c>
      <c r="E317" s="4" t="n">
        <v>3</v>
      </c>
    </row>
    <row r="318">
      <c r="A318" s="3" t="inlineStr">
        <is>
          <t>788fdce7</t>
        </is>
      </c>
      <c r="B318" s="3" t="inlineStr">
        <is>
          <t>TOALLA DE MICROFIBRA ROJA</t>
        </is>
      </c>
      <c r="C318" s="3" t="inlineStr">
        <is>
          <t>unidad</t>
        </is>
      </c>
      <c r="D318" s="3" t="inlineStr">
        <is>
          <t>Insumos</t>
        </is>
      </c>
      <c r="E318" s="4" t="n">
        <v>3</v>
      </c>
    </row>
    <row r="319">
      <c r="A319" s="3" t="inlineStr">
        <is>
          <t>5b95003d</t>
        </is>
      </c>
      <c r="B319" s="3" t="inlineStr">
        <is>
          <t>Toalla P/manos natural sanitisu 6x240 mts</t>
        </is>
      </c>
      <c r="C319" s="3" t="inlineStr">
        <is>
          <t>unidad</t>
        </is>
      </c>
      <c r="D319" s="3" t="inlineStr">
        <is>
          <t>Inssumos</t>
        </is>
      </c>
      <c r="E319" s="4" t="n">
        <v>31.35</v>
      </c>
    </row>
    <row r="320">
      <c r="A320" s="3" t="inlineStr">
        <is>
          <t>47852c86</t>
        </is>
      </c>
      <c r="B320" s="3" t="inlineStr">
        <is>
          <t>Toallas Franelas unidad</t>
        </is>
      </c>
      <c r="C320" s="3" t="inlineStr">
        <is>
          <t>unidad</t>
        </is>
      </c>
      <c r="D320" s="3" t="inlineStr">
        <is>
          <t>Empaques y Desechables</t>
        </is>
      </c>
      <c r="E320" s="5" t="n">
        <v>0</v>
      </c>
    </row>
    <row r="321">
      <c r="A321" s="3" t="inlineStr">
        <is>
          <t>21f6b200</t>
        </is>
      </c>
      <c r="B321" s="3" t="inlineStr">
        <is>
          <t>Tocino Ahumado Chimex paquete</t>
        </is>
      </c>
      <c r="C321" s="3" t="inlineStr">
        <is>
          <t>paquete</t>
        </is>
      </c>
      <c r="D321" s="3" t="inlineStr">
        <is>
          <t>Carnes y Complementos</t>
        </is>
      </c>
      <c r="E321" s="5" t="n">
        <v>0</v>
      </c>
    </row>
    <row r="322">
      <c r="A322" s="3" t="inlineStr">
        <is>
          <t>a6920d1c</t>
        </is>
      </c>
      <c r="B322" s="3" t="inlineStr">
        <is>
          <t>Tocino porción</t>
        </is>
      </c>
      <c r="C322" s="3" t="inlineStr">
        <is>
          <t>porcion</t>
        </is>
      </c>
      <c r="D322" s="3" t="inlineStr">
        <is>
          <t>Producto Terminado</t>
        </is>
      </c>
      <c r="E322" s="5" t="n">
        <v>0</v>
      </c>
    </row>
    <row r="323">
      <c r="A323" s="3" t="inlineStr">
        <is>
          <t>516f4331</t>
        </is>
      </c>
      <c r="B323" s="3" t="inlineStr">
        <is>
          <t>Tomate caja 25 libras</t>
        </is>
      </c>
      <c r="C323" s="3" t="inlineStr">
        <is>
          <t>lb</t>
        </is>
      </c>
      <c r="D323" s="3" t="inlineStr">
        <is>
          <t>Verduras</t>
        </is>
      </c>
      <c r="E323" s="4" t="n">
        <v>0.6933333333333334</v>
      </c>
    </row>
    <row r="324">
      <c r="A324" s="3" t="inlineStr">
        <is>
          <t>8cef6341</t>
        </is>
      </c>
      <c r="B324" s="3" t="inlineStr">
        <is>
          <t>Trolli G Burger XXL 24 X50G</t>
        </is>
      </c>
      <c r="C324" s="3" t="inlineStr">
        <is>
          <t>Unidad</t>
        </is>
      </c>
      <c r="D324" s="3" t="inlineStr">
        <is>
          <t>Insumo Merch</t>
        </is>
      </c>
      <c r="E324" s="4" t="n">
        <v>0.900808456716418</v>
      </c>
    </row>
    <row r="325">
      <c r="A325" s="3" t="inlineStr">
        <is>
          <t>0207f18f</t>
        </is>
      </c>
      <c r="B325" s="3" t="inlineStr">
        <is>
          <t>Truffa bolsa</t>
        </is>
      </c>
      <c r="C325" s="3" t="inlineStr">
        <is>
          <t>bolsa</t>
        </is>
      </c>
      <c r="D325" s="3" t="inlineStr">
        <is>
          <t>Salsas y Aderezos</t>
        </is>
      </c>
      <c r="E325" s="5" t="n">
        <v>0</v>
      </c>
    </row>
    <row r="326">
      <c r="A326" s="3" t="inlineStr">
        <is>
          <t>ad9a632f</t>
        </is>
      </c>
      <c r="B326" s="3" t="inlineStr">
        <is>
          <t>Vaso Transparente pet 16 onz</t>
        </is>
      </c>
      <c r="C326" s="3" t="inlineStr">
        <is>
          <t>unidad</t>
        </is>
      </c>
      <c r="D326" s="3" t="inlineStr">
        <is>
          <t>insumo</t>
        </is>
      </c>
      <c r="E326" s="4" t="n">
        <v>0.07000000000000001</v>
      </c>
    </row>
    <row r="327">
      <c r="A327" s="3" t="inlineStr">
        <is>
          <t>886fbddd</t>
        </is>
      </c>
      <c r="B327" s="3" t="inlineStr">
        <is>
          <t>Vasos Desechables paquete 50 unidades</t>
        </is>
      </c>
      <c r="C327" s="3" t="inlineStr">
        <is>
          <t>paquete</t>
        </is>
      </c>
      <c r="D327" s="3" t="inlineStr">
        <is>
          <t>Empaques y Desechables</t>
        </is>
      </c>
      <c r="E327" s="5" t="n">
        <v>0</v>
      </c>
    </row>
    <row r="328">
      <c r="A328" s="3" t="inlineStr">
        <is>
          <t>97aaad0c</t>
        </is>
      </c>
      <c r="B328" s="3" t="inlineStr">
        <is>
          <t>VINAGRE BLANCO GOURMET BOTR 3785 ML</t>
        </is>
      </c>
      <c r="C328" s="3" t="inlineStr">
        <is>
          <t>unidad</t>
        </is>
      </c>
      <c r="D328" s="3" t="inlineStr">
        <is>
          <t>Insumos</t>
        </is>
      </c>
      <c r="E328" s="4" t="n">
        <v>2.39</v>
      </c>
    </row>
    <row r="329">
      <c r="A329" s="3" t="inlineStr">
        <is>
          <t>e2334474</t>
        </is>
      </c>
      <c r="B329" s="3" t="inlineStr">
        <is>
          <t>Vinagre de Manzana 1/4 Galon</t>
        </is>
      </c>
      <c r="C329" s="3" t="inlineStr">
        <is>
          <t>cuarto_galón</t>
        </is>
      </c>
      <c r="D329" s="3" t="inlineStr">
        <is>
          <t>Insumo Chili</t>
        </is>
      </c>
      <c r="E329" s="4" t="n">
        <v>5.04</v>
      </c>
    </row>
    <row r="330">
      <c r="A330" s="3" t="inlineStr">
        <is>
          <t>0d34c1d8</t>
        </is>
      </c>
      <c r="B330" s="3" t="inlineStr">
        <is>
          <t>Vinagre el negrito galón</t>
        </is>
      </c>
      <c r="C330" s="3" t="inlineStr">
        <is>
          <t>galón</t>
        </is>
      </c>
      <c r="D330" s="3" t="inlineStr">
        <is>
          <t>Salsas y Aderezos</t>
        </is>
      </c>
      <c r="E330" s="5" t="n">
        <v>0</v>
      </c>
    </row>
    <row r="331">
      <c r="A331" s="3" t="inlineStr">
        <is>
          <t>ddef5c9e</t>
        </is>
      </c>
      <c r="B331" s="3" t="inlineStr">
        <is>
          <t>Vinagre en Galon</t>
        </is>
      </c>
      <c r="C331" s="3" t="inlineStr">
        <is>
          <t>litro</t>
        </is>
      </c>
      <c r="D331" s="3" t="inlineStr">
        <is>
          <t>Insumo Cocina</t>
        </is>
      </c>
      <c r="E331" s="4" t="n">
        <v>0.5377539514030664</v>
      </c>
    </row>
    <row r="332">
      <c r="A332" s="3" t="inlineStr">
        <is>
          <t>a3b37e8d</t>
        </is>
      </c>
      <c r="B332" s="3" t="inlineStr">
        <is>
          <t>Vinyl ultraflex gris brillante</t>
        </is>
      </c>
      <c r="C332" s="3" t="inlineStr">
        <is>
          <t>unidad</t>
        </is>
      </c>
      <c r="D332" s="3" t="inlineStr">
        <is>
          <t>Insumo</t>
        </is>
      </c>
      <c r="E332" s="4" t="n">
        <v>7.05</v>
      </c>
    </row>
    <row r="333">
      <c r="A333" s="3" t="inlineStr">
        <is>
          <t>612b4290</t>
        </is>
      </c>
      <c r="B333" s="3" t="inlineStr">
        <is>
          <t>Zanahoria</t>
        </is>
      </c>
      <c r="C333" s="3" t="inlineStr">
        <is>
          <t>unidad</t>
        </is>
      </c>
      <c r="D333" s="3" t="inlineStr">
        <is>
          <t>Insumo</t>
        </is>
      </c>
      <c r="E333" s="4" t="n">
        <v>0.8666666666666667</v>
      </c>
    </row>
    <row r="334">
      <c r="A334" s="3" t="inlineStr">
        <is>
          <t>9082362c</t>
        </is>
      </c>
      <c r="B334" s="3" t="inlineStr">
        <is>
          <t>Zanahoria</t>
        </is>
      </c>
      <c r="C334" s="3" t="inlineStr">
        <is>
          <t>unidad</t>
        </is>
      </c>
      <c r="D334" s="3" t="inlineStr">
        <is>
          <t>Insumo Hotdog</t>
        </is>
      </c>
      <c r="E334" s="4" t="n">
        <v>0.3536</v>
      </c>
    </row>
  </sheetData>
  <autoFilter ref="A1:E334"/>
  <pageMargins left="0.75" right="0.75" top="1" bottom="1" header="0.5" footer="0.5"/>
</worksheet>
</file>

<file path=xl/worksheets/sheet2.xml><?xml version="1.0" encoding="utf-8"?>
<worksheet xmlns="http://schemas.openxmlformats.org/spreadsheetml/2006/main">
  <sheetPr>
    <tabColor rgb="00e65100"/>
    <outlinePr summaryBelow="1" summaryRight="1"/>
    <pageSetUpPr/>
  </sheetPr>
  <dimension ref="A1:I166"/>
  <sheetViews>
    <sheetView workbookViewId="0">
      <pane ySplit="2" topLeftCell="A3" activePane="bottomLeft" state="frozen"/>
      <selection pane="bottomLeft" activeCell="A1" sqref="A1"/>
    </sheetView>
  </sheetViews>
  <sheetFormatPr baseColWidth="8" defaultRowHeight="15"/>
  <cols>
    <col width="25" customWidth="1" min="1" max="1"/>
    <col width="50" customWidth="1" min="2" max="2"/>
    <col width="12" customWidth="1" min="3" max="3"/>
    <col width="10" customWidth="1" min="4" max="4"/>
    <col width="18" customWidth="1" min="5" max="5"/>
    <col width="14" customWidth="1" min="6" max="6"/>
    <col width="12" customWidth="1" min="7" max="7"/>
    <col width="12" customWidth="1" min="8" max="8"/>
    <col width="16" customWidth="1" min="9" max="9"/>
  </cols>
  <sheetData>
    <row r="1">
      <c r="A1" s="1" t="inlineStr">
        <is>
          <t>Sub-producto</t>
        </is>
      </c>
      <c r="B1" s="1" t="inlineStr">
        <is>
          <t>Ingrediente</t>
        </is>
      </c>
      <c r="C1" s="1" t="inlineStr">
        <is>
          <t>Cantidad</t>
        </is>
      </c>
      <c r="D1" s="1" t="inlineStr">
        <is>
          <t>Unidad</t>
        </is>
      </c>
      <c r="E1" s="1" t="inlineStr">
        <is>
          <t>Precio/unit (BUSCARV→MP)</t>
        </is>
      </c>
      <c r="F1" s="1" t="inlineStr">
        <is>
          <t>Costo línea</t>
        </is>
      </c>
      <c r="G1" s="1" t="inlineStr">
        <is>
          <t>Rendimiento</t>
        </is>
      </c>
      <c r="H1" s="1" t="inlineStr">
        <is>
          <t>Unidad rend.</t>
        </is>
      </c>
      <c r="I1" s="1" t="inlineStr">
        <is>
          <t>Costo/porción</t>
        </is>
      </c>
    </row>
    <row r="2">
      <c r="A2" s="2" t="inlineStr">
        <is>
          <t>sub_producto</t>
        </is>
      </c>
      <c r="B2" s="2" t="inlineStr">
        <is>
          <t>ingrediente</t>
        </is>
      </c>
      <c r="C2" s="2" t="inlineStr">
        <is>
          <t>cantidad</t>
        </is>
      </c>
      <c r="D2" s="2" t="inlineStr">
        <is>
          <t>unidad</t>
        </is>
      </c>
      <c r="E2" s="2" t="inlineStr">
        <is>
          <t>precio_unit</t>
        </is>
      </c>
      <c r="F2" s="2" t="inlineStr">
        <is>
          <t>costo_linea</t>
        </is>
      </c>
      <c r="G2" s="2" t="inlineStr">
        <is>
          <t>rendimiento</t>
        </is>
      </c>
      <c r="H2" s="2" t="inlineStr">
        <is>
          <t>unidad_rend</t>
        </is>
      </c>
      <c r="I2" s="2" t="inlineStr">
        <is>
          <t>costo_por_porcion</t>
        </is>
      </c>
    </row>
    <row r="3">
      <c r="A3" s="6" t="inlineStr">
        <is>
          <t>Cebolla Blanca</t>
        </is>
      </c>
      <c r="G3" t="n">
        <v>320</v>
      </c>
      <c r="H3" t="inlineStr">
        <is>
          <t>porcion</t>
        </is>
      </c>
    </row>
    <row r="4">
      <c r="A4" s="3" t="n"/>
      <c r="B4" s="3" t="inlineStr">
        <is>
          <t>Cebollas Blancas</t>
        </is>
      </c>
      <c r="C4" s="3" t="n">
        <v>20</v>
      </c>
      <c r="D4" s="3" t="inlineStr">
        <is>
          <t>unidad</t>
        </is>
      </c>
      <c r="E4" s="7">
        <f>IFERROR(VLOOKUP(B4,ListaIngredientes,4,FALSE),0)</f>
        <v/>
      </c>
      <c r="F4" s="7">
        <f>C4*E4*(1+0.136364)</f>
        <v/>
      </c>
      <c r="G4" s="3" t="n"/>
      <c r="H4" s="3" t="n"/>
      <c r="I4" s="3" t="n"/>
    </row>
    <row r="5">
      <c r="A5" s="8" t="inlineStr">
        <is>
          <t>TOTAL</t>
        </is>
      </c>
      <c r="B5" s="9" t="n"/>
      <c r="C5" s="9" t="n"/>
      <c r="D5" s="9" t="n"/>
      <c r="E5" s="9" t="n"/>
      <c r="F5" s="10">
        <f>SUM(F4:F4)</f>
        <v/>
      </c>
      <c r="G5" s="9" t="n">
        <v>320</v>
      </c>
      <c r="H5" s="9" t="n"/>
      <c r="I5" s="10">
        <f>IF(G5&gt;0,F5/G5,0)</f>
        <v/>
      </c>
    </row>
    <row r="7">
      <c r="A7" s="6" t="inlineStr">
        <is>
          <t>Cebolla Morada</t>
        </is>
      </c>
      <c r="G7" t="n">
        <v>998</v>
      </c>
      <c r="H7" t="inlineStr">
        <is>
          <t>porcion</t>
        </is>
      </c>
    </row>
    <row r="8">
      <c r="A8" s="3" t="n"/>
      <c r="B8" s="3" t="inlineStr">
        <is>
          <t>Cebolla morada (saco 50 lb)</t>
        </is>
      </c>
      <c r="C8" s="3" t="n">
        <v>25</v>
      </c>
      <c r="D8" s="3" t="inlineStr">
        <is>
          <t>lb</t>
        </is>
      </c>
      <c r="E8" s="7">
        <f>IFERROR(VLOOKUP(B8,ListaIngredientes,4,FALSE),0)</f>
        <v/>
      </c>
      <c r="F8" s="7">
        <f>C8*E8</f>
        <v/>
      </c>
      <c r="G8" s="3" t="n"/>
      <c r="H8" s="3" t="n"/>
      <c r="I8" s="3" t="n"/>
    </row>
    <row r="9">
      <c r="A9" s="3" t="n"/>
      <c r="B9" s="3" t="inlineStr">
        <is>
          <t>Bolsa de hielo 5 lbs</t>
        </is>
      </c>
      <c r="C9" s="3" t="n">
        <v>1</v>
      </c>
      <c r="D9" s="3" t="inlineStr">
        <is>
          <t>bolsa</t>
        </is>
      </c>
      <c r="E9" s="7">
        <f>IFERROR(VLOOKUP(B9,ListaIngredientes,4,FALSE),0)</f>
        <v/>
      </c>
      <c r="F9" s="7">
        <f>C9*E9</f>
        <v/>
      </c>
      <c r="G9" s="3" t="n"/>
      <c r="H9" s="3" t="n"/>
      <c r="I9" s="3" t="n"/>
    </row>
    <row r="10">
      <c r="A10" s="3" t="n"/>
      <c r="B10" s="3" t="inlineStr">
        <is>
          <t>Vinagre en Galon</t>
        </is>
      </c>
      <c r="C10" s="3" t="n">
        <v>0.2</v>
      </c>
      <c r="D10" s="3" t="inlineStr">
        <is>
          <t>litro</t>
        </is>
      </c>
      <c r="E10" s="7">
        <f>IFERROR(VLOOKUP(B10,ListaIngredientes,4,FALSE),0)</f>
        <v/>
      </c>
      <c r="F10" s="7">
        <f>C10*E10</f>
        <v/>
      </c>
      <c r="G10" s="3" t="n"/>
      <c r="H10" s="3" t="n"/>
      <c r="I10" s="3" t="n"/>
    </row>
    <row r="11">
      <c r="A11" s="8" t="inlineStr">
        <is>
          <t>TOTAL</t>
        </is>
      </c>
      <c r="B11" s="9" t="n"/>
      <c r="C11" s="9" t="n"/>
      <c r="D11" s="9" t="n"/>
      <c r="E11" s="9" t="n"/>
      <c r="F11" s="10">
        <f>SUM(F8:F10)</f>
        <v/>
      </c>
      <c r="G11" s="9" t="n">
        <v>998</v>
      </c>
      <c r="H11" s="9" t="n"/>
      <c r="I11" s="10">
        <f>IF(G11&gt;0,F11/G11,0)</f>
        <v/>
      </c>
    </row>
    <row r="13">
      <c r="A13" s="6" t="inlineStr">
        <is>
          <t>Cheddar Porcionado (Bolsa 2lb)</t>
        </is>
      </c>
      <c r="G13" t="n">
        <v>96</v>
      </c>
      <c r="H13" t="inlineStr">
        <is>
          <t>porcion</t>
        </is>
      </c>
    </row>
    <row r="14">
      <c r="A14" s="3" t="n"/>
      <c r="B14" s="3" t="inlineStr">
        <is>
          <t>Cheddar Lata</t>
        </is>
      </c>
      <c r="C14" s="3" t="n">
        <v>1</v>
      </c>
      <c r="D14" s="3" t="inlineStr">
        <is>
          <t>lata</t>
        </is>
      </c>
      <c r="E14" s="7">
        <f>IFERROR(VLOOKUP(B14,ListaIngredientes,4,FALSE),0)</f>
        <v/>
      </c>
      <c r="F14" s="7">
        <f>C14*E14</f>
        <v/>
      </c>
      <c r="G14" s="3" t="n"/>
      <c r="H14" s="3" t="n"/>
      <c r="I14" s="3" t="n"/>
    </row>
    <row r="15">
      <c r="A15" s="8" t="inlineStr">
        <is>
          <t>TOTAL</t>
        </is>
      </c>
      <c r="B15" s="9" t="n"/>
      <c r="C15" s="9" t="n"/>
      <c r="D15" s="9" t="n"/>
      <c r="E15" s="9" t="n"/>
      <c r="F15" s="10">
        <f>SUM(F14:F14)</f>
        <v/>
      </c>
      <c r="G15" s="9" t="n">
        <v>96</v>
      </c>
      <c r="H15" s="9" t="n"/>
      <c r="I15" s="10">
        <f>IF(G15&gt;0,F15/G15,0)</f>
        <v/>
      </c>
    </row>
    <row r="17">
      <c r="A17" s="6" t="inlineStr">
        <is>
          <t>Chili</t>
        </is>
      </c>
      <c r="G17" t="n">
        <v>4</v>
      </c>
      <c r="H17" t="inlineStr">
        <is>
          <t>bolsa</t>
        </is>
      </c>
    </row>
    <row r="18">
      <c r="A18" s="3" t="n"/>
      <c r="B18" s="3" t="inlineStr">
        <is>
          <t>55334 MS Paprika</t>
        </is>
      </c>
      <c r="C18" s="3" t="n">
        <v>20</v>
      </c>
      <c r="D18" s="3" t="inlineStr">
        <is>
          <t>g</t>
        </is>
      </c>
      <c r="E18" s="7">
        <f>IFERROR(VLOOKUP(B18,ListaIngredientes,4,FALSE),0)</f>
        <v/>
      </c>
      <c r="F18" s="7">
        <f>C18*E18</f>
        <v/>
      </c>
      <c r="G18" s="3" t="n"/>
      <c r="H18" s="3" t="n"/>
      <c r="I18" s="3" t="n"/>
    </row>
    <row r="19">
      <c r="A19" s="3" t="n"/>
      <c r="B19" s="3" t="inlineStr">
        <is>
          <t>524550 Ajo Granulado</t>
        </is>
      </c>
      <c r="C19" s="3" t="n">
        <v>8</v>
      </c>
      <c r="D19" s="3" t="inlineStr">
        <is>
          <t>g</t>
        </is>
      </c>
      <c r="E19" s="7">
        <f>IFERROR(VLOOKUP(B19,ListaIngredientes,4,FALSE),0)</f>
        <v/>
      </c>
      <c r="F19" s="7">
        <f>C19*E19</f>
        <v/>
      </c>
      <c r="G19" s="3" t="n"/>
      <c r="H19" s="3" t="n"/>
      <c r="I19" s="3" t="n"/>
    </row>
    <row r="20">
      <c r="A20" s="3" t="n"/>
      <c r="B20" s="3" t="inlineStr">
        <is>
          <t>535 Gran Onion</t>
        </is>
      </c>
      <c r="C20" s="3" t="n">
        <v>8</v>
      </c>
      <c r="D20" s="3" t="inlineStr">
        <is>
          <t>g</t>
        </is>
      </c>
      <c r="E20" s="7">
        <f>IFERROR(VLOOKUP(B20,ListaIngredientes,4,FALSE),0)</f>
        <v/>
      </c>
      <c r="F20" s="7">
        <f>C20*E20</f>
        <v/>
      </c>
      <c r="G20" s="3" t="n"/>
      <c r="H20" s="3" t="n"/>
      <c r="I20" s="3" t="n"/>
    </row>
    <row r="21">
      <c r="A21" s="3" t="n"/>
      <c r="B21" s="3" t="inlineStr">
        <is>
          <t>Molida 90/10</t>
        </is>
      </c>
      <c r="C21" s="3" t="n">
        <v>4</v>
      </c>
      <c r="D21" s="3" t="inlineStr">
        <is>
          <t>lb</t>
        </is>
      </c>
      <c r="E21" s="7">
        <f>IFERROR(VLOOKUP(B21,ListaIngredientes,4,FALSE),0)</f>
        <v/>
      </c>
      <c r="F21" s="7">
        <f>C21*E21</f>
        <v/>
      </c>
      <c r="G21" s="3" t="n"/>
      <c r="H21" s="3" t="n"/>
      <c r="I21" s="3" t="n"/>
    </row>
    <row r="22">
      <c r="A22" s="3" t="n"/>
      <c r="B22" s="3" t="inlineStr">
        <is>
          <t>Chile Molido</t>
        </is>
      </c>
      <c r="C22" s="3" t="n">
        <v>3</v>
      </c>
      <c r="D22" s="3" t="inlineStr">
        <is>
          <t>cucharada</t>
        </is>
      </c>
      <c r="E22" s="7">
        <f>IFERROR(VLOOKUP(B22,ListaIngredientes,4,FALSE),0)</f>
        <v/>
      </c>
      <c r="F22" s="7">
        <f>C22*E22</f>
        <v/>
      </c>
      <c r="G22" s="3" t="n"/>
      <c r="H22" s="3" t="n"/>
      <c r="I22" s="3" t="n"/>
    </row>
    <row r="23">
      <c r="A23" s="3" t="n"/>
      <c r="B23" s="3" t="inlineStr">
        <is>
          <t>Chile Chipotle Adobado 24/380 GR</t>
        </is>
      </c>
      <c r="C23" s="3" t="n">
        <v>2</v>
      </c>
      <c r="D23" s="3" t="inlineStr">
        <is>
          <t>unidad</t>
        </is>
      </c>
      <c r="E23" s="7">
        <f>IFERROR(VLOOKUP(B23,ListaIngredientes,4,FALSE),0)</f>
        <v/>
      </c>
      <c r="F23" s="7">
        <f>C23*E23</f>
        <v/>
      </c>
      <c r="G23" s="3" t="n"/>
      <c r="H23" s="3" t="n"/>
      <c r="I23" s="3" t="n"/>
    </row>
    <row r="24">
      <c r="A24" s="3" t="n"/>
      <c r="B24" s="3" t="inlineStr">
        <is>
          <t>Cebollas Blancas</t>
        </is>
      </c>
      <c r="C24" s="3" t="n">
        <v>2</v>
      </c>
      <c r="D24" s="3" t="inlineStr">
        <is>
          <t>unidad</t>
        </is>
      </c>
      <c r="E24" s="7">
        <f>IFERROR(VLOOKUP(B24,ListaIngredientes,4,FALSE),0)</f>
        <v/>
      </c>
      <c r="F24" s="7">
        <f>C24*E24</f>
        <v/>
      </c>
      <c r="G24" s="3" t="n"/>
      <c r="H24" s="3" t="n"/>
      <c r="I24" s="3" t="n"/>
    </row>
    <row r="25">
      <c r="A25" s="3" t="n"/>
      <c r="B25" s="3" t="inlineStr">
        <is>
          <t>Frijol Entero Bayo La Sierra 12/560 GR</t>
        </is>
      </c>
      <c r="C25" s="3" t="n">
        <v>2</v>
      </c>
      <c r="D25" s="3" t="inlineStr">
        <is>
          <t>lata</t>
        </is>
      </c>
      <c r="E25" s="7">
        <f>IFERROR(VLOOKUP(B25,ListaIngredientes,4,FALSE),0)</f>
        <v/>
      </c>
      <c r="F25" s="7">
        <f>C25*E25</f>
        <v/>
      </c>
      <c r="G25" s="3" t="n"/>
      <c r="H25" s="3" t="n"/>
      <c r="I25" s="3" t="n"/>
    </row>
    <row r="26">
      <c r="A26" s="3" t="n"/>
      <c r="B26" s="3" t="inlineStr">
        <is>
          <t>Frijol Entero Negro La Sierra 12/560 GR</t>
        </is>
      </c>
      <c r="C26" s="3" t="n">
        <v>2</v>
      </c>
      <c r="D26" s="3" t="inlineStr">
        <is>
          <t>lata</t>
        </is>
      </c>
      <c r="E26" s="7">
        <f>IFERROR(VLOOKUP(B26,ListaIngredientes,4,FALSE),0)</f>
        <v/>
      </c>
      <c r="F26" s="7">
        <f>C26*E26</f>
        <v/>
      </c>
      <c r="G26" s="3" t="n"/>
      <c r="H26" s="3" t="n"/>
      <c r="I26" s="3" t="n"/>
    </row>
    <row r="27">
      <c r="A27" s="3" t="n"/>
      <c r="B27" s="3" t="inlineStr">
        <is>
          <t>Caldo de Res en Polvo</t>
        </is>
      </c>
      <c r="C27" s="3" t="n">
        <v>2</v>
      </c>
      <c r="D27" s="3" t="inlineStr">
        <is>
          <t>cucharada</t>
        </is>
      </c>
      <c r="E27" s="7">
        <f>IFERROR(VLOOKUP(B27,ListaIngredientes,4,FALSE),0)</f>
        <v/>
      </c>
      <c r="F27" s="7">
        <f>C27*E27</f>
        <v/>
      </c>
      <c r="G27" s="3" t="n"/>
      <c r="H27" s="3" t="n"/>
      <c r="I27" s="3" t="n"/>
    </row>
    <row r="28">
      <c r="A28" s="3" t="n"/>
      <c r="B28" s="3" t="inlineStr">
        <is>
          <t>55331 Pimienta Molida</t>
        </is>
      </c>
      <c r="C28" s="3" t="n">
        <v>1.35</v>
      </c>
      <c r="D28" s="3" t="inlineStr">
        <is>
          <t>g</t>
        </is>
      </c>
      <c r="E28" s="7">
        <f>IFERROR(VLOOKUP(B28,ListaIngredientes,4,FALSE),0)</f>
        <v/>
      </c>
      <c r="F28" s="7">
        <f>C28*E28</f>
        <v/>
      </c>
      <c r="G28" s="3" t="n"/>
      <c r="H28" s="3" t="n"/>
      <c r="I28" s="3" t="n"/>
    </row>
    <row r="29">
      <c r="A29" s="3" t="n"/>
      <c r="B29" s="3" t="inlineStr">
        <is>
          <t>30204 Oregano</t>
        </is>
      </c>
      <c r="C29" s="3" t="n">
        <v>1.35</v>
      </c>
      <c r="D29" s="3" t="inlineStr">
        <is>
          <t>g</t>
        </is>
      </c>
      <c r="E29" s="7">
        <f>IFERROR(VLOOKUP(B29,ListaIngredientes,4,FALSE),0)</f>
        <v/>
      </c>
      <c r="F29" s="7">
        <f>C29*E29</f>
        <v/>
      </c>
      <c r="G29" s="3" t="n"/>
      <c r="H29" s="3" t="n"/>
      <c r="I29" s="3" t="n"/>
    </row>
    <row r="30">
      <c r="A30" s="3" t="n"/>
      <c r="B30" s="3" t="inlineStr">
        <is>
          <t>326235 Azucar Morena</t>
        </is>
      </c>
      <c r="C30" s="3" t="n">
        <v>1.35</v>
      </c>
      <c r="D30" s="3" t="inlineStr">
        <is>
          <t>g</t>
        </is>
      </c>
      <c r="E30" s="7">
        <f>IFERROR(VLOOKUP(B30,ListaIngredientes,4,FALSE),0)</f>
        <v/>
      </c>
      <c r="F30" s="7">
        <f>C30*E30</f>
        <v/>
      </c>
      <c r="G30" s="3" t="n"/>
      <c r="H30" s="3" t="n"/>
      <c r="I30" s="3" t="n"/>
    </row>
    <row r="31">
      <c r="A31" s="3" t="n"/>
      <c r="B31" s="3" t="inlineStr">
        <is>
          <t>Acido Citrico</t>
        </is>
      </c>
      <c r="C31" s="3" t="n">
        <v>1.35</v>
      </c>
      <c r="D31" s="3" t="inlineStr">
        <is>
          <t>g</t>
        </is>
      </c>
      <c r="E31" s="7">
        <f>IFERROR(VLOOKUP(B31,ListaIngredientes,4,FALSE),0)</f>
        <v/>
      </c>
      <c r="F31" s="7">
        <f>C31*E31</f>
        <v/>
      </c>
      <c r="G31" s="3" t="n"/>
      <c r="H31" s="3" t="n"/>
      <c r="I31" s="3" t="n"/>
    </row>
    <row r="32">
      <c r="A32" s="3" t="n"/>
      <c r="B32" s="3" t="inlineStr">
        <is>
          <t>Zanahoria</t>
        </is>
      </c>
      <c r="C32" s="3" t="n">
        <v>1</v>
      </c>
      <c r="D32" s="3" t="inlineStr">
        <is>
          <t>unidad</t>
        </is>
      </c>
      <c r="E32" s="7">
        <f>IFERROR(VLOOKUP(B32,ListaIngredientes,4,FALSE),0)</f>
        <v/>
      </c>
      <c r="F32" s="7">
        <f>C32*E32</f>
        <v/>
      </c>
      <c r="G32" s="3" t="n"/>
      <c r="H32" s="3" t="n"/>
      <c r="I32" s="3" t="n"/>
    </row>
    <row r="33">
      <c r="A33" s="3" t="n"/>
      <c r="B33" s="3" t="inlineStr">
        <is>
          <t>Chile Verde Mercado</t>
        </is>
      </c>
      <c r="C33" s="3" t="n">
        <v>1</v>
      </c>
      <c r="D33" s="3" t="inlineStr">
        <is>
          <t>unidad</t>
        </is>
      </c>
      <c r="E33" s="7">
        <f>IFERROR(VLOOKUP(B33,ListaIngredientes,4,FALSE),0)</f>
        <v/>
      </c>
      <c r="F33" s="7">
        <f>C33*E33</f>
        <v/>
      </c>
      <c r="G33" s="3" t="n"/>
      <c r="H33" s="3" t="n"/>
      <c r="I33" s="3" t="n"/>
    </row>
    <row r="34">
      <c r="A34" s="3" t="n"/>
      <c r="B34" s="3" t="inlineStr">
        <is>
          <t>1250 Tomates</t>
        </is>
      </c>
      <c r="C34" s="3" t="n">
        <v>1</v>
      </c>
      <c r="D34" s="3" t="inlineStr">
        <is>
          <t>lata</t>
        </is>
      </c>
      <c r="E34" s="7">
        <f>IFERROR(VLOOKUP(B34,ListaIngredientes,4,FALSE),0)</f>
        <v/>
      </c>
      <c r="F34" s="7">
        <f>C34*E34</f>
        <v/>
      </c>
      <c r="G34" s="3" t="n"/>
      <c r="H34" s="3" t="n"/>
      <c r="I34" s="3" t="n"/>
    </row>
    <row r="35">
      <c r="A35" s="3" t="n"/>
      <c r="B35" s="3" t="inlineStr">
        <is>
          <t>Polvo de Hongo</t>
        </is>
      </c>
      <c r="C35" s="3" t="n">
        <v>1</v>
      </c>
      <c r="D35" s="3" t="inlineStr">
        <is>
          <t>cucharadita</t>
        </is>
      </c>
      <c r="E35" s="7">
        <f>IFERROR(VLOOKUP(B35,ListaIngredientes,4,FALSE),0)</f>
        <v/>
      </c>
      <c r="F35" s="7">
        <f>C35*E35</f>
        <v/>
      </c>
      <c r="G35" s="3" t="n"/>
      <c r="H35" s="3" t="n"/>
      <c r="I35" s="3" t="n"/>
    </row>
    <row r="36">
      <c r="A36" s="3" t="n"/>
      <c r="B36" s="3" t="inlineStr">
        <is>
          <t>Cocoa en Polvo</t>
        </is>
      </c>
      <c r="C36" s="3" t="n">
        <v>0.5</v>
      </c>
      <c r="D36" s="3" t="inlineStr">
        <is>
          <t>cucharadita</t>
        </is>
      </c>
      <c r="E36" s="7">
        <f>IFERROR(VLOOKUP(B36,ListaIngredientes,4,FALSE),0)</f>
        <v/>
      </c>
      <c r="F36" s="7">
        <f>C36*E36</f>
        <v/>
      </c>
      <c r="G36" s="3" t="n"/>
      <c r="H36" s="3" t="n"/>
      <c r="I36" s="3" t="n"/>
    </row>
    <row r="37">
      <c r="A37" s="3" t="n"/>
      <c r="B37" s="3" t="inlineStr">
        <is>
          <t>Comino Molido</t>
        </is>
      </c>
      <c r="C37" s="3" t="n">
        <v>0.5</v>
      </c>
      <c r="D37" s="3" t="inlineStr">
        <is>
          <t>cucharadita</t>
        </is>
      </c>
      <c r="E37" s="7">
        <f>IFERROR(VLOOKUP(B37,ListaIngredientes,4,FALSE),0)</f>
        <v/>
      </c>
      <c r="F37" s="7">
        <f>C37*E37</f>
        <v/>
      </c>
      <c r="G37" s="3" t="n"/>
      <c r="H37" s="3" t="n"/>
      <c r="I37" s="3" t="n"/>
    </row>
    <row r="38">
      <c r="A38" s="3" t="n"/>
      <c r="B38" s="3" t="inlineStr">
        <is>
          <t>Vinagre en Galon</t>
        </is>
      </c>
      <c r="C38" s="3" t="n">
        <v>0.25</v>
      </c>
      <c r="D38" s="3" t="inlineStr">
        <is>
          <t>taza</t>
        </is>
      </c>
      <c r="E38" s="7">
        <f>IFERROR(VLOOKUP(B38,ListaIngredientes,4,FALSE),0)</f>
        <v/>
      </c>
      <c r="F38" s="7">
        <f>C38*E38</f>
        <v/>
      </c>
      <c r="G38" s="3" t="n"/>
      <c r="H38" s="3" t="n"/>
      <c r="I38" s="3" t="n"/>
    </row>
    <row r="39">
      <c r="A39" s="3" t="n"/>
      <c r="B39" s="3" t="inlineStr">
        <is>
          <t>Acido Ascorbico</t>
        </is>
      </c>
      <c r="C39" s="3" t="n">
        <v>0.00135</v>
      </c>
      <c r="D39" s="3" t="inlineStr">
        <is>
          <t>kg</t>
        </is>
      </c>
      <c r="E39" s="7">
        <f>IFERROR(VLOOKUP(B39,ListaIngredientes,4,FALSE),0)</f>
        <v/>
      </c>
      <c r="F39" s="7">
        <f>C39*E39</f>
        <v/>
      </c>
      <c r="G39" s="3" t="n"/>
      <c r="H39" s="3" t="n"/>
      <c r="I39" s="3" t="n"/>
    </row>
    <row r="40">
      <c r="A40" s="8" t="inlineStr">
        <is>
          <t>TOTAL</t>
        </is>
      </c>
      <c r="B40" s="9" t="n"/>
      <c r="C40" s="9" t="n"/>
      <c r="D40" s="9" t="n"/>
      <c r="E40" s="9" t="n"/>
      <c r="F40" s="10">
        <f>SUM(F18:F39)</f>
        <v/>
      </c>
      <c r="G40" s="9" t="n">
        <v>4</v>
      </c>
      <c r="H40" s="9" t="n"/>
      <c r="I40" s="10">
        <f>IF(G40&gt;0,F40/G40,0)</f>
        <v/>
      </c>
    </row>
    <row r="42">
      <c r="A42" s="6" t="inlineStr">
        <is>
          <t>Escabeche</t>
        </is>
      </c>
      <c r="G42" t="n">
        <v>160</v>
      </c>
      <c r="H42" t="inlineStr">
        <is>
          <t>porcion</t>
        </is>
      </c>
    </row>
    <row r="43">
      <c r="A43" s="3" t="n"/>
      <c r="B43" s="3" t="inlineStr">
        <is>
          <t>Mostaza MC Cormick Galon Bolsa</t>
        </is>
      </c>
      <c r="C43" s="3" t="n">
        <v>30</v>
      </c>
      <c r="D43" s="3" t="inlineStr">
        <is>
          <t>ml</t>
        </is>
      </c>
      <c r="E43" s="7">
        <f>IFERROR(VLOOKUP(B43,ListaIngredientes,4,FALSE),0)</f>
        <v/>
      </c>
      <c r="F43" s="7">
        <f>C43*E43</f>
        <v/>
      </c>
      <c r="G43" s="3" t="n"/>
      <c r="H43" s="3" t="n"/>
      <c r="I43" s="3" t="n"/>
    </row>
    <row r="44">
      <c r="A44" s="3" t="n"/>
      <c r="B44" s="3" t="inlineStr">
        <is>
          <t>535 Gran Onion</t>
        </is>
      </c>
      <c r="C44" s="3" t="n">
        <v>16</v>
      </c>
      <c r="D44" s="3" t="inlineStr">
        <is>
          <t>g</t>
        </is>
      </c>
      <c r="E44" s="7">
        <f>IFERROR(VLOOKUP(B44,ListaIngredientes,4,FALSE),0)</f>
        <v/>
      </c>
      <c r="F44" s="7">
        <f>C44*E44</f>
        <v/>
      </c>
      <c r="G44" s="3" t="n"/>
      <c r="H44" s="3" t="n"/>
      <c r="I44" s="3" t="n"/>
    </row>
    <row r="45">
      <c r="A45" s="3" t="n"/>
      <c r="B45" s="3" t="inlineStr">
        <is>
          <t>Sazonador Completo MCCormick 2kgs Bolsa</t>
        </is>
      </c>
      <c r="C45" s="3" t="n">
        <v>8</v>
      </c>
      <c r="D45" s="3" t="inlineStr">
        <is>
          <t>g</t>
        </is>
      </c>
      <c r="E45" s="7">
        <f>IFERROR(VLOOKUP(B45,ListaIngredientes,4,FALSE),0)</f>
        <v/>
      </c>
      <c r="F45" s="7">
        <f>C45*E45</f>
        <v/>
      </c>
      <c r="G45" s="3" t="n"/>
      <c r="H45" s="3" t="n"/>
      <c r="I45" s="3" t="n"/>
    </row>
    <row r="46">
      <c r="A46" s="3" t="n"/>
      <c r="B46" s="3" t="inlineStr">
        <is>
          <t>Bultos de repollo</t>
        </is>
      </c>
      <c r="C46" s="3" t="n">
        <v>5</v>
      </c>
      <c r="D46" s="3" t="inlineStr">
        <is>
          <t>unidad</t>
        </is>
      </c>
      <c r="E46" s="7">
        <f>IFERROR(VLOOKUP(B46,ListaIngredientes,4,FALSE),0)</f>
        <v/>
      </c>
      <c r="F46" s="7">
        <f>C46*E46</f>
        <v/>
      </c>
      <c r="G46" s="3" t="n"/>
      <c r="H46" s="3" t="n"/>
      <c r="I46" s="3" t="n"/>
    </row>
    <row r="47">
      <c r="A47" s="3" t="n"/>
      <c r="B47" s="3" t="inlineStr">
        <is>
          <t>Zanahoria</t>
        </is>
      </c>
      <c r="C47" s="3" t="n">
        <v>2</v>
      </c>
      <c r="D47" s="3" t="inlineStr">
        <is>
          <t>unidad</t>
        </is>
      </c>
      <c r="E47" s="7">
        <f>IFERROR(VLOOKUP(B47,ListaIngredientes,4,FALSE),0)</f>
        <v/>
      </c>
      <c r="F47" s="7">
        <f>C47*E47</f>
        <v/>
      </c>
      <c r="G47" s="3" t="n"/>
      <c r="H47" s="3" t="n"/>
      <c r="I47" s="3" t="n"/>
    </row>
    <row r="48">
      <c r="A48" s="3" t="n"/>
      <c r="B48" s="3" t="inlineStr">
        <is>
          <t>Vinagre en Galon</t>
        </is>
      </c>
      <c r="C48" s="3" t="n">
        <v>0.5</v>
      </c>
      <c r="D48" s="3" t="inlineStr">
        <is>
          <t>litro</t>
        </is>
      </c>
      <c r="E48" s="7">
        <f>IFERROR(VLOOKUP(B48,ListaIngredientes,4,FALSE),0)</f>
        <v/>
      </c>
      <c r="F48" s="7">
        <f>C48*E48</f>
        <v/>
      </c>
      <c r="G48" s="3" t="n"/>
      <c r="H48" s="3" t="n"/>
      <c r="I48" s="3" t="n"/>
    </row>
    <row r="49">
      <c r="A49" s="8" t="inlineStr">
        <is>
          <t>TOTAL</t>
        </is>
      </c>
      <c r="B49" s="9" t="n"/>
      <c r="C49" s="9" t="n"/>
      <c r="D49" s="9" t="n"/>
      <c r="E49" s="9" t="n"/>
      <c r="F49" s="10">
        <f>SUM(F43:F48)</f>
        <v/>
      </c>
      <c r="G49" s="9" t="n">
        <v>160</v>
      </c>
      <c r="H49" s="9" t="n"/>
      <c r="I49" s="10">
        <f>IF(G49&gt;0,F49/G49,0)</f>
        <v/>
      </c>
    </row>
    <row r="51">
      <c r="A51" s="6" t="inlineStr">
        <is>
          <t>Fancy</t>
        </is>
      </c>
      <c r="G51" t="n">
        <v>1</v>
      </c>
      <c r="H51" t="inlineStr">
        <is>
          <t>porcion</t>
        </is>
      </c>
    </row>
    <row r="52">
      <c r="A52" s="3" t="n"/>
      <c r="B52" s="3" t="inlineStr">
        <is>
          <t>Papa Sazonadas 30lb</t>
        </is>
      </c>
      <c r="C52" s="3" t="n">
        <v>0.7</v>
      </c>
      <c r="D52" s="3" t="inlineStr">
        <is>
          <t>lb</t>
        </is>
      </c>
      <c r="E52" s="7">
        <f>IFERROR(VLOOKUP(B52,ListaIngredientes,4,FALSE),0)</f>
        <v/>
      </c>
      <c r="F52" s="7">
        <f>C52*E52</f>
        <v/>
      </c>
      <c r="G52" s="3" t="n"/>
      <c r="H52" s="3" t="n"/>
      <c r="I52" s="3" t="n"/>
    </row>
    <row r="53">
      <c r="A53" s="3" t="n"/>
      <c r="B53" s="3" t="inlineStr">
        <is>
          <t>Papa Waffle 27LB</t>
        </is>
      </c>
      <c r="C53" s="3" t="n">
        <v>0.4</v>
      </c>
      <c r="D53" s="3" t="inlineStr">
        <is>
          <t>lb</t>
        </is>
      </c>
      <c r="E53" s="7">
        <f>IFERROR(VLOOKUP(B53,ListaIngredientes,4,FALSE),0)</f>
        <v/>
      </c>
      <c r="F53" s="7">
        <f>C53*E53</f>
        <v/>
      </c>
      <c r="G53" s="3" t="n"/>
      <c r="H53" s="3" t="n"/>
      <c r="I53" s="3" t="n"/>
    </row>
    <row r="54">
      <c r="A54" s="3" t="n"/>
      <c r="B54" s="3" t="inlineStr">
        <is>
          <t>Papa Blanca 20lb</t>
        </is>
      </c>
      <c r="C54" s="3" t="n">
        <v>0.35</v>
      </c>
      <c r="D54" s="3" t="inlineStr">
        <is>
          <t>lb</t>
        </is>
      </c>
      <c r="E54" s="7">
        <f>IFERROR(VLOOKUP(B54,ListaIngredientes,4,FALSE),0)</f>
        <v/>
      </c>
      <c r="F54" s="7">
        <f>C54*E54</f>
        <v/>
      </c>
      <c r="G54" s="3" t="n"/>
      <c r="H54" s="3" t="n"/>
      <c r="I54" s="3" t="n"/>
    </row>
    <row r="55">
      <c r="A55" s="8" t="inlineStr">
        <is>
          <t>TOTAL</t>
        </is>
      </c>
      <c r="B55" s="9" t="n"/>
      <c r="C55" s="9" t="n"/>
      <c r="D55" s="9" t="n"/>
      <c r="E55" s="9" t="n"/>
      <c r="F55" s="10">
        <f>SUM(F52:F54)</f>
        <v/>
      </c>
      <c r="G55" s="9" t="n">
        <v>1</v>
      </c>
      <c r="H55" s="9" t="n"/>
      <c r="I55" s="10">
        <f>IF(G55&gt;0,F55/G55,0)</f>
        <v/>
      </c>
    </row>
    <row r="57">
      <c r="A57" s="6" t="inlineStr">
        <is>
          <t>Freakie Dog armado</t>
        </is>
      </c>
      <c r="G57" t="n">
        <v>1</v>
      </c>
      <c r="H57" t="inlineStr">
        <is>
          <t>unidad</t>
        </is>
      </c>
    </row>
    <row r="58">
      <c r="A58" s="3" t="n"/>
      <c r="B58" s="3" t="inlineStr">
        <is>
          <t>Cebolla Blanca</t>
        </is>
      </c>
      <c r="C58" s="3" t="n">
        <v>1</v>
      </c>
      <c r="D58" s="3" t="inlineStr">
        <is>
          <t>porcion</t>
        </is>
      </c>
      <c r="E58" s="11" t="inlineStr">
        <is>
          <t>(sub-receta)</t>
        </is>
      </c>
      <c r="F58" s="11" t="n">
        <v>0</v>
      </c>
      <c r="G58" s="3" t="n"/>
      <c r="H58" s="3" t="n"/>
      <c r="I58" s="3" t="n"/>
    </row>
    <row r="59">
      <c r="A59" s="3" t="n"/>
      <c r="B59" s="3" t="inlineStr">
        <is>
          <t>Cheddar Porcionado (Bolsa 2lb)</t>
        </is>
      </c>
      <c r="C59" s="3" t="n">
        <v>0.25</v>
      </c>
      <c r="D59" s="3" t="inlineStr">
        <is>
          <t>porcion</t>
        </is>
      </c>
      <c r="E59" s="11" t="inlineStr">
        <is>
          <t>(sub-receta)</t>
        </is>
      </c>
      <c r="F59" s="11" t="n">
        <v>0</v>
      </c>
      <c r="G59" s="3" t="n"/>
      <c r="H59" s="3" t="n"/>
      <c r="I59" s="3" t="n"/>
    </row>
    <row r="60">
      <c r="A60" s="3" t="n"/>
      <c r="B60" s="3" t="inlineStr">
        <is>
          <t>Salsa Chipotle</t>
        </is>
      </c>
      <c r="C60" s="3" t="n">
        <v>0.25</v>
      </c>
      <c r="D60" s="3" t="inlineStr">
        <is>
          <t>porcion</t>
        </is>
      </c>
      <c r="E60" s="11" t="inlineStr">
        <is>
          <t>(sub-receta)</t>
        </is>
      </c>
      <c r="F60" s="11" t="n">
        <v>0</v>
      </c>
      <c r="G60" s="3" t="n"/>
      <c r="H60" s="3" t="n"/>
      <c r="I60" s="3" t="n"/>
    </row>
    <row r="61">
      <c r="A61" s="3" t="n"/>
      <c r="B61" s="3" t="inlineStr">
        <is>
          <t>Escabeche</t>
        </is>
      </c>
      <c r="C61" s="3" t="n">
        <v>1</v>
      </c>
      <c r="D61" s="3" t="inlineStr">
        <is>
          <t>porcion</t>
        </is>
      </c>
      <c r="E61" s="11" t="inlineStr">
        <is>
          <t>(sub-receta)</t>
        </is>
      </c>
      <c r="F61" s="11" t="n">
        <v>0</v>
      </c>
      <c r="G61" s="3" t="n"/>
      <c r="H61" s="3" t="n"/>
      <c r="I61" s="3" t="n"/>
    </row>
    <row r="62">
      <c r="A62" s="3" t="n"/>
      <c r="B62" s="3" t="inlineStr">
        <is>
          <t>Salsa Ketchup GL. 4X3.5 KG MC Cormick</t>
        </is>
      </c>
      <c r="C62" s="3" t="n">
        <v>0.25</v>
      </c>
      <c r="D62" s="3" t="inlineStr">
        <is>
          <t>oz</t>
        </is>
      </c>
      <c r="E62" s="7">
        <f>IFERROR(VLOOKUP(B62,ListaIngredientes,4,FALSE),0)</f>
        <v/>
      </c>
      <c r="F62" s="7">
        <f>C62*E62</f>
        <v/>
      </c>
      <c r="G62" s="3" t="n"/>
      <c r="H62" s="3" t="n"/>
      <c r="I62" s="3" t="n"/>
    </row>
    <row r="63">
      <c r="A63" s="3" t="n"/>
      <c r="B63" s="3" t="inlineStr">
        <is>
          <t>Mayonesa Hellmans Real</t>
        </is>
      </c>
      <c r="C63" s="3" t="n">
        <v>0.5</v>
      </c>
      <c r="D63" s="3" t="inlineStr">
        <is>
          <t>oz</t>
        </is>
      </c>
      <c r="E63" s="7">
        <f>IFERROR(VLOOKUP(B63,ListaIngredientes,4,FALSE),0)</f>
        <v/>
      </c>
      <c r="F63" s="7">
        <f>C63*E63</f>
        <v/>
      </c>
      <c r="G63" s="3" t="n"/>
      <c r="H63" s="3" t="n"/>
      <c r="I63" s="3" t="n"/>
    </row>
    <row r="64">
      <c r="A64" s="3" t="n"/>
      <c r="B64" s="3" t="inlineStr">
        <is>
          <t>Pepinillo triturado bote</t>
        </is>
      </c>
      <c r="C64" s="3" t="n">
        <v>0.25</v>
      </c>
      <c r="D64" s="3" t="inlineStr">
        <is>
          <t>oz</t>
        </is>
      </c>
      <c r="E64" s="7">
        <f>IFERROR(VLOOKUP(B64,ListaIngredientes,4,FALSE),0)</f>
        <v/>
      </c>
      <c r="F64" s="7">
        <f>C64*E64</f>
        <v/>
      </c>
      <c r="G64" s="3" t="n"/>
      <c r="H64" s="3" t="n"/>
      <c r="I64" s="3" t="n"/>
    </row>
    <row r="65">
      <c r="A65" s="3" t="n"/>
      <c r="B65" s="3" t="inlineStr">
        <is>
          <t>Pan Hot Dog Berna bolsa 10 unidades</t>
        </is>
      </c>
      <c r="C65" s="3" t="n">
        <v>1</v>
      </c>
      <c r="D65" s="3" t="inlineStr">
        <is>
          <t>unidad</t>
        </is>
      </c>
      <c r="E65" s="7">
        <f>IFERROR(VLOOKUP(B65,ListaIngredientes,4,FALSE),0)</f>
        <v/>
      </c>
      <c r="F65" s="7">
        <f>C65*E65*0.1</f>
        <v/>
      </c>
      <c r="G65" s="3" t="n"/>
      <c r="H65" s="3" t="n"/>
      <c r="I65" s="3" t="n"/>
    </row>
    <row r="66">
      <c r="A66" s="3" t="n"/>
      <c r="B66" s="3" t="inlineStr">
        <is>
          <t>Salchicha Parowsi paquete 25 unidades</t>
        </is>
      </c>
      <c r="C66" s="3" t="n">
        <v>1</v>
      </c>
      <c r="D66" s="3" t="inlineStr">
        <is>
          <t>unidad</t>
        </is>
      </c>
      <c r="E66" s="7">
        <f>IFERROR(VLOOKUP(B66,ListaIngredientes,4,FALSE),0)</f>
        <v/>
      </c>
      <c r="F66" s="7">
        <f>C66*E66*0.04</f>
        <v/>
      </c>
      <c r="G66" s="3" t="n"/>
      <c r="H66" s="3" t="n"/>
      <c r="I66" s="3" t="n"/>
    </row>
    <row r="67">
      <c r="A67" s="8" t="inlineStr">
        <is>
          <t>TOTAL</t>
        </is>
      </c>
      <c r="B67" s="9" t="n"/>
      <c r="C67" s="9" t="n"/>
      <c r="D67" s="9" t="n"/>
      <c r="E67" s="9" t="n"/>
      <c r="F67" s="10">
        <f>SUM(F58:F66)</f>
        <v/>
      </c>
      <c r="G67" s="9" t="n">
        <v>1</v>
      </c>
      <c r="H67" s="9" t="n"/>
      <c r="I67" s="10">
        <f>IF(G67&gt;0,F67/G67,0)</f>
        <v/>
      </c>
    </row>
    <row r="69">
      <c r="A69" s="6" t="inlineStr">
        <is>
          <t>Hamburguesa Sencilla (armada)</t>
        </is>
      </c>
      <c r="G69" t="n">
        <v>1</v>
      </c>
      <c r="H69" t="inlineStr">
        <is>
          <t>unidad</t>
        </is>
      </c>
    </row>
    <row r="70">
      <c r="A70" s="3" t="n"/>
      <c r="B70" s="3" t="inlineStr">
        <is>
          <t>Cebolla Morada</t>
        </is>
      </c>
      <c r="C70" s="3" t="n">
        <v>1</v>
      </c>
      <c r="D70" s="3" t="inlineStr">
        <is>
          <t>porcion</t>
        </is>
      </c>
      <c r="E70" s="11" t="inlineStr">
        <is>
          <t>(sub-receta)</t>
        </is>
      </c>
      <c r="F70" s="11" t="n">
        <v>0</v>
      </c>
      <c r="G70" s="3" t="n"/>
      <c r="H70" s="3" t="n"/>
      <c r="I70" s="3" t="n"/>
    </row>
    <row r="71">
      <c r="A71" s="3" t="n"/>
      <c r="B71" s="3" t="inlineStr">
        <is>
          <t>Salsa Mil Islas</t>
        </is>
      </c>
      <c r="C71" s="3" t="n">
        <v>1</v>
      </c>
      <c r="D71" s="3" t="inlineStr">
        <is>
          <t>porcion</t>
        </is>
      </c>
      <c r="E71" s="11" t="inlineStr">
        <is>
          <t>(sub-receta)</t>
        </is>
      </c>
      <c r="F71" s="11" t="n">
        <v>0</v>
      </c>
      <c r="G71" s="3" t="n"/>
      <c r="H71" s="3" t="n"/>
      <c r="I71" s="3" t="n"/>
    </row>
    <row r="72">
      <c r="A72" s="3" t="n"/>
      <c r="B72" s="3" t="inlineStr">
        <is>
          <t>228941 Pepinillos</t>
        </is>
      </c>
      <c r="C72" s="3" t="n">
        <v>0.4233</v>
      </c>
      <c r="D72" s="3" t="inlineStr">
        <is>
          <t>oz</t>
        </is>
      </c>
      <c r="E72" s="7">
        <f>IFERROR(VLOOKUP(B72,ListaIngredientes,4,FALSE),0)</f>
        <v/>
      </c>
      <c r="F72" s="7">
        <f>C72*E72</f>
        <v/>
      </c>
      <c r="G72" s="3" t="n"/>
      <c r="H72" s="3" t="n"/>
      <c r="I72" s="3" t="n"/>
    </row>
    <row r="73">
      <c r="A73" s="3" t="n"/>
      <c r="B73" s="3" t="inlineStr">
        <is>
          <t>MQ LAC Procesado Reb AM C 1.4kg/3lb</t>
        </is>
      </c>
      <c r="C73" s="3" t="n">
        <v>0.0667</v>
      </c>
      <c r="D73" s="3" t="inlineStr">
        <is>
          <t>lb</t>
        </is>
      </c>
      <c r="E73" s="7">
        <f>IFERROR(VLOOKUP(B73,ListaIngredientes,4,FALSE),0)</f>
        <v/>
      </c>
      <c r="F73" s="7">
        <f>C73*E73</f>
        <v/>
      </c>
      <c r="G73" s="3" t="n"/>
      <c r="H73" s="3" t="n"/>
      <c r="I73" s="3" t="n"/>
    </row>
    <row r="74">
      <c r="A74" s="3" t="n"/>
      <c r="B74" s="3" t="inlineStr">
        <is>
          <t>Sal de Hamburguesa</t>
        </is>
      </c>
      <c r="C74" s="3" t="n">
        <v>1</v>
      </c>
      <c r="D74" s="3" t="inlineStr">
        <is>
          <t>porcion</t>
        </is>
      </c>
      <c r="E74" s="11" t="inlineStr">
        <is>
          <t>(sub-receta)</t>
        </is>
      </c>
      <c r="F74" s="11" t="n">
        <v>0</v>
      </c>
      <c r="G74" s="3" t="n"/>
      <c r="H74" s="3" t="n"/>
      <c r="I74" s="3" t="n"/>
    </row>
    <row r="75">
      <c r="A75" s="3" t="n"/>
      <c r="B75" s="3" t="inlineStr">
        <is>
          <t>Mezcla de Carne Smash</t>
        </is>
      </c>
      <c r="C75" s="3" t="n">
        <v>2</v>
      </c>
      <c r="D75" s="3" t="inlineStr">
        <is>
          <t>unidad</t>
        </is>
      </c>
      <c r="E75" s="11" t="inlineStr">
        <is>
          <t>(sub-receta)</t>
        </is>
      </c>
      <c r="F75" s="11" t="n">
        <v>0</v>
      </c>
      <c r="G75" s="3" t="n"/>
      <c r="H75" s="3" t="n"/>
      <c r="I75" s="3" t="n"/>
    </row>
    <row r="76">
      <c r="A76" s="3" t="n"/>
      <c r="B76" s="3" t="inlineStr">
        <is>
          <t>Pan de Hamburguesa Brioche 2.8oz</t>
        </is>
      </c>
      <c r="C76" s="3" t="n">
        <v>1</v>
      </c>
      <c r="D76" s="3" t="inlineStr">
        <is>
          <t>unidad</t>
        </is>
      </c>
      <c r="E76" s="7">
        <f>IFERROR(VLOOKUP(B76,ListaIngredientes,4,FALSE),0)</f>
        <v/>
      </c>
      <c r="F76" s="7">
        <f>C76*E76</f>
        <v/>
      </c>
      <c r="G76" s="3" t="n"/>
      <c r="H76" s="3" t="n"/>
      <c r="I76" s="3" t="n"/>
    </row>
    <row r="77">
      <c r="A77" s="3" t="n"/>
      <c r="B77" s="3" t="inlineStr">
        <is>
          <t>95816 Mantequilla</t>
        </is>
      </c>
      <c r="C77" s="3" t="n">
        <v>0.5</v>
      </c>
      <c r="D77" s="3" t="inlineStr">
        <is>
          <t>g</t>
        </is>
      </c>
      <c r="E77" s="7">
        <f>IFERROR(VLOOKUP(B77,ListaIngredientes,4,FALSE),0)</f>
        <v/>
      </c>
      <c r="F77" s="7">
        <f>C77*E77</f>
        <v/>
      </c>
      <c r="G77" s="3" t="n"/>
      <c r="H77" s="3" t="n"/>
      <c r="I77" s="3" t="n"/>
    </row>
    <row r="78">
      <c r="A78" s="8" t="inlineStr">
        <is>
          <t>TOTAL</t>
        </is>
      </c>
      <c r="B78" s="9" t="n"/>
      <c r="C78" s="9" t="n"/>
      <c r="D78" s="9" t="n"/>
      <c r="E78" s="9" t="n"/>
      <c r="F78" s="10">
        <f>SUM(F70:F77)</f>
        <v/>
      </c>
      <c r="G78" s="9" t="n">
        <v>1</v>
      </c>
      <c r="H78" s="9" t="n"/>
      <c r="I78" s="10">
        <f>IF(G78&gt;0,F78/G78,0)</f>
        <v/>
      </c>
    </row>
    <row r="80">
      <c r="A80" s="6" t="inlineStr">
        <is>
          <t>Mermelada de Tocino</t>
        </is>
      </c>
      <c r="G80" t="n">
        <v>4</v>
      </c>
      <c r="H80" t="inlineStr">
        <is>
          <t>tanda</t>
        </is>
      </c>
    </row>
    <row r="81">
      <c r="A81" s="3" t="n"/>
      <c r="B81" s="3" t="inlineStr">
        <is>
          <t>326235 Azucar Morena</t>
        </is>
      </c>
      <c r="C81" s="3" t="n">
        <v>1430</v>
      </c>
      <c r="D81" s="3" t="inlineStr">
        <is>
          <t>g</t>
        </is>
      </c>
      <c r="E81" s="7">
        <f>IFERROR(VLOOKUP(B81,ListaIngredientes,4,FALSE),0)</f>
        <v/>
      </c>
      <c r="F81" s="7">
        <f>C81*E81</f>
        <v/>
      </c>
      <c r="G81" s="3" t="n"/>
      <c r="H81" s="3" t="n"/>
      <c r="I81" s="3" t="n"/>
    </row>
    <row r="82">
      <c r="A82" s="3" t="n"/>
      <c r="B82" s="3" t="inlineStr">
        <is>
          <t>Cebollas Blancas</t>
        </is>
      </c>
      <c r="C82" s="3" t="n">
        <v>25</v>
      </c>
      <c r="D82" s="3" t="inlineStr">
        <is>
          <t>unidad</t>
        </is>
      </c>
      <c r="E82" s="7">
        <f>IFERROR(VLOOKUP(B82,ListaIngredientes,4,FALSE),0)</f>
        <v/>
      </c>
      <c r="F82" s="7">
        <f>C82*E82</f>
        <v/>
      </c>
      <c r="G82" s="3" t="n"/>
      <c r="H82" s="3" t="n"/>
      <c r="I82" s="3" t="n"/>
    </row>
    <row r="83">
      <c r="A83" s="3" t="n"/>
      <c r="B83" s="3" t="inlineStr">
        <is>
          <t>Miel de Maple</t>
        </is>
      </c>
      <c r="C83" s="3" t="n">
        <v>6.33</v>
      </c>
      <c r="D83" s="3" t="inlineStr">
        <is>
          <t>taza</t>
        </is>
      </c>
      <c r="E83" s="7">
        <f>IFERROR(VLOOKUP(B83,ListaIngredientes,4,FALSE),0)</f>
        <v/>
      </c>
      <c r="F83" s="7">
        <f>C83*E83</f>
        <v/>
      </c>
      <c r="G83" s="3" t="n"/>
      <c r="H83" s="3" t="n"/>
      <c r="I83" s="3" t="n"/>
    </row>
    <row r="84">
      <c r="A84" s="3" t="n"/>
      <c r="B84" s="3" t="inlineStr">
        <is>
          <t>Tocino Ahumado Chimex kg</t>
        </is>
      </c>
      <c r="C84" s="3" t="n">
        <v>1.5876</v>
      </c>
      <c r="D84" s="3" t="inlineStr">
        <is>
          <t>kg</t>
        </is>
      </c>
      <c r="E84" s="7">
        <f>IFERROR(VLOOKUP(B84,ListaIngredientes,4,FALSE),0)</f>
        <v/>
      </c>
      <c r="F84" s="7">
        <f>C84*E84</f>
        <v/>
      </c>
      <c r="G84" s="3" t="n"/>
      <c r="H84" s="3" t="n"/>
      <c r="I84" s="3" t="n"/>
    </row>
    <row r="85">
      <c r="A85" s="3" t="n"/>
      <c r="B85" s="3" t="inlineStr">
        <is>
          <t>Vinagre de Manzana 1/4 Galon</t>
        </is>
      </c>
      <c r="C85" s="3" t="n">
        <v>1.5625</v>
      </c>
      <c r="D85" s="3" t="inlineStr">
        <is>
          <t>cuarto_galón</t>
        </is>
      </c>
      <c r="E85" s="7">
        <f>IFERROR(VLOOKUP(B85,ListaIngredientes,4,FALSE),0)</f>
        <v/>
      </c>
      <c r="F85" s="7">
        <f>C85*E85</f>
        <v/>
      </c>
      <c r="G85" s="3" t="n"/>
      <c r="H85" s="3" t="n"/>
      <c r="I85" s="3" t="n"/>
    </row>
    <row r="86">
      <c r="A86" s="3" t="n"/>
      <c r="B86" s="3" t="inlineStr">
        <is>
          <t>95816 Mantequilla</t>
        </is>
      </c>
      <c r="C86" s="3" t="n">
        <v>0.5</v>
      </c>
      <c r="D86" s="3" t="inlineStr">
        <is>
          <t>barra</t>
        </is>
      </c>
      <c r="E86" s="7">
        <f>IFERROR(VLOOKUP(B86,ListaIngredientes,4,FALSE),0)</f>
        <v/>
      </c>
      <c r="F86" s="7">
        <f>C86*E86</f>
        <v/>
      </c>
      <c r="G86" s="3" t="n"/>
      <c r="H86" s="3" t="n"/>
      <c r="I86" s="3" t="n"/>
    </row>
    <row r="87">
      <c r="A87" s="3" t="n"/>
      <c r="B87" s="3" t="inlineStr">
        <is>
          <t>921290 Salsa Soya</t>
        </is>
      </c>
      <c r="C87" s="3" t="n">
        <v>0.015625</v>
      </c>
      <c r="D87" s="3" t="inlineStr">
        <is>
          <t>galón</t>
        </is>
      </c>
      <c r="E87" s="7">
        <f>IFERROR(VLOOKUP(B87,ListaIngredientes,4,FALSE),0)</f>
        <v/>
      </c>
      <c r="F87" s="7">
        <f>C87*E87</f>
        <v/>
      </c>
      <c r="G87" s="3" t="n"/>
      <c r="H87" s="3" t="n"/>
      <c r="I87" s="3" t="n"/>
    </row>
    <row r="88">
      <c r="A88" s="8" t="inlineStr">
        <is>
          <t>TOTAL</t>
        </is>
      </c>
      <c r="B88" s="9" t="n"/>
      <c r="C88" s="9" t="n"/>
      <c r="D88" s="9" t="n"/>
      <c r="E88" s="9" t="n"/>
      <c r="F88" s="10">
        <f>SUM(F81:F87)</f>
        <v/>
      </c>
      <c r="G88" s="9" t="n">
        <v>4</v>
      </c>
      <c r="H88" s="9" t="n"/>
      <c r="I88" s="10">
        <f>IF(G88&gt;0,F88/G88,0)</f>
        <v/>
      </c>
    </row>
    <row r="90">
      <c r="A90" s="6" t="inlineStr">
        <is>
          <t>Mezcla de Carne Smash</t>
        </is>
      </c>
      <c r="G90" t="n">
        <v>667</v>
      </c>
      <c r="H90" t="inlineStr">
        <is>
          <t>unidad</t>
        </is>
      </c>
    </row>
    <row r="91">
      <c r="A91" s="3" t="n"/>
      <c r="B91" s="3" t="inlineStr">
        <is>
          <t>Glutamato Monosodico</t>
        </is>
      </c>
      <c r="C91" s="3" t="n">
        <v>131</v>
      </c>
      <c r="D91" s="3" t="inlineStr">
        <is>
          <t>g</t>
        </is>
      </c>
      <c r="E91" s="7">
        <f>IFERROR(VLOOKUP(B91,ListaIngredientes,4,FALSE),0)</f>
        <v/>
      </c>
      <c r="F91" s="7">
        <f>C91*E91</f>
        <v/>
      </c>
      <c r="G91" s="3" t="n"/>
      <c r="H91" s="3" t="n"/>
      <c r="I91" s="3" t="n"/>
    </row>
    <row r="92">
      <c r="A92" s="3" t="n"/>
      <c r="B92" s="3" t="inlineStr">
        <is>
          <t>Bionis YE 38 (saco 20 kg)</t>
        </is>
      </c>
      <c r="C92" s="3" t="n">
        <v>114</v>
      </c>
      <c r="D92" s="3" t="inlineStr">
        <is>
          <t>g</t>
        </is>
      </c>
      <c r="E92" s="7">
        <f>IFERROR(VLOOKUP(B92,ListaIngredientes,4,FALSE),0)</f>
        <v/>
      </c>
      <c r="F92" s="7">
        <f>C92*E92</f>
        <v/>
      </c>
      <c r="G92" s="3" t="n"/>
      <c r="H92" s="3" t="n"/>
      <c r="I92" s="3" t="n"/>
    </row>
    <row r="93">
      <c r="A93" s="3" t="n"/>
      <c r="B93" s="3" t="inlineStr">
        <is>
          <t>55334 MS Paprika</t>
        </is>
      </c>
      <c r="C93" s="3" t="n">
        <v>71</v>
      </c>
      <c r="D93" s="3" t="inlineStr">
        <is>
          <t>g</t>
        </is>
      </c>
      <c r="E93" s="7">
        <f>IFERROR(VLOOKUP(B93,ListaIngredientes,4,FALSE),0)</f>
        <v/>
      </c>
      <c r="F93" s="7">
        <f>C93*E93</f>
        <v/>
      </c>
      <c r="G93" s="3" t="n"/>
      <c r="H93" s="3" t="n"/>
      <c r="I93" s="3" t="n"/>
    </row>
    <row r="94">
      <c r="A94" s="3" t="n"/>
      <c r="B94" s="3" t="inlineStr">
        <is>
          <t>535 Gran Onion</t>
        </is>
      </c>
      <c r="C94" s="3" t="n">
        <v>71</v>
      </c>
      <c r="D94" s="3" t="inlineStr">
        <is>
          <t>g</t>
        </is>
      </c>
      <c r="E94" s="7">
        <f>IFERROR(VLOOKUP(B94,ListaIngredientes,4,FALSE),0)</f>
        <v/>
      </c>
      <c r="F94" s="7">
        <f>C94*E94</f>
        <v/>
      </c>
      <c r="G94" s="3" t="n"/>
      <c r="H94" s="3" t="n"/>
      <c r="I94" s="3" t="n"/>
    </row>
    <row r="95">
      <c r="A95" s="3" t="n"/>
      <c r="B95" s="3" t="inlineStr">
        <is>
          <t>524550 Ajo Granulado</t>
        </is>
      </c>
      <c r="C95" s="3" t="n">
        <v>66</v>
      </c>
      <c r="D95" s="3" t="inlineStr">
        <is>
          <t>g</t>
        </is>
      </c>
      <c r="E95" s="7">
        <f>IFERROR(VLOOKUP(B95,ListaIngredientes,4,FALSE),0)</f>
        <v/>
      </c>
      <c r="F95" s="7">
        <f>C95*E95</f>
        <v/>
      </c>
      <c r="G95" s="3" t="n"/>
      <c r="H95" s="3" t="n"/>
      <c r="I95" s="3" t="n"/>
    </row>
    <row r="96">
      <c r="A96" s="3" t="n"/>
      <c r="B96" s="3" t="inlineStr">
        <is>
          <t>55331 Pimienta Molida</t>
        </is>
      </c>
      <c r="C96" s="3" t="n">
        <v>57</v>
      </c>
      <c r="D96" s="3" t="inlineStr">
        <is>
          <t>g</t>
        </is>
      </c>
      <c r="E96" s="7">
        <f>IFERROR(VLOOKUP(B96,ListaIngredientes,4,FALSE),0)</f>
        <v/>
      </c>
      <c r="F96" s="7">
        <f>C96*E96</f>
        <v/>
      </c>
      <c r="G96" s="3" t="n"/>
      <c r="H96" s="3" t="n"/>
      <c r="I96" s="3" t="n"/>
    </row>
    <row r="97">
      <c r="A97" s="3" t="n"/>
      <c r="B97" s="3" t="inlineStr">
        <is>
          <t>New York Corte Argentino</t>
        </is>
      </c>
      <c r="C97" s="3" t="n">
        <v>30</v>
      </c>
      <c r="D97" s="3" t="inlineStr">
        <is>
          <t>lb</t>
        </is>
      </c>
      <c r="E97" s="7">
        <f>IFERROR(VLOOKUP(B97,ListaIngredientes,4,FALSE),0)</f>
        <v/>
      </c>
      <c r="F97" s="7">
        <f>C97*E97</f>
        <v/>
      </c>
      <c r="G97" s="3" t="n"/>
      <c r="H97" s="3" t="n"/>
      <c r="I97" s="3" t="n"/>
    </row>
    <row r="98">
      <c r="A98" s="3" t="n"/>
      <c r="B98" s="3" t="inlineStr">
        <is>
          <t>Carne Molida Fina 75:25 CAB</t>
        </is>
      </c>
      <c r="C98" s="3" t="n">
        <v>25</v>
      </c>
      <c r="D98" s="3" t="inlineStr">
        <is>
          <t>lb</t>
        </is>
      </c>
      <c r="E98" s="7">
        <f>IFERROR(VLOOKUP(B98,ListaIngredientes,4,FALSE),0)</f>
        <v/>
      </c>
      <c r="F98" s="7">
        <f>C98*E98</f>
        <v/>
      </c>
      <c r="G98" s="3" t="n"/>
      <c r="H98" s="3" t="n"/>
      <c r="I98" s="3" t="n"/>
    </row>
    <row r="99">
      <c r="A99" s="3" t="n"/>
      <c r="B99" s="3" t="inlineStr">
        <is>
          <t>Brisket</t>
        </is>
      </c>
      <c r="C99" s="3" t="n">
        <v>20</v>
      </c>
      <c r="D99" s="3" t="inlineStr">
        <is>
          <t>lb</t>
        </is>
      </c>
      <c r="E99" s="7">
        <f>IFERROR(VLOOKUP(B99,ListaIngredientes,4,FALSE),0)</f>
        <v/>
      </c>
      <c r="F99" s="7">
        <f>C99*E99</f>
        <v/>
      </c>
      <c r="G99" s="3" t="n"/>
      <c r="H99" s="3" t="n"/>
      <c r="I99" s="3" t="n"/>
    </row>
    <row r="100">
      <c r="A100" s="3" t="n"/>
      <c r="B100" s="3" t="inlineStr">
        <is>
          <t>Molida  80/20</t>
        </is>
      </c>
      <c r="C100" s="3" t="n">
        <v>15</v>
      </c>
      <c r="D100" s="3" t="inlineStr">
        <is>
          <t>lb</t>
        </is>
      </c>
      <c r="E100" s="7">
        <f>IFERROR(VLOOKUP(B100,ListaIngredientes,4,FALSE),0)</f>
        <v/>
      </c>
      <c r="F100" s="7">
        <f>C100*E100</f>
        <v/>
      </c>
      <c r="G100" s="3" t="n"/>
      <c r="H100" s="3" t="n"/>
      <c r="I100" s="3" t="n"/>
    </row>
    <row r="101">
      <c r="A101" s="3" t="n"/>
      <c r="B101" s="3" t="inlineStr">
        <is>
          <t>Nuca de cerdo</t>
        </is>
      </c>
      <c r="C101" s="3" t="n">
        <v>10</v>
      </c>
      <c r="D101" s="3" t="inlineStr">
        <is>
          <t>lb</t>
        </is>
      </c>
      <c r="E101" s="7">
        <f>IFERROR(VLOOKUP(B101,ListaIngredientes,4,FALSE),0)</f>
        <v/>
      </c>
      <c r="F101" s="7">
        <f>C101*E101</f>
        <v/>
      </c>
      <c r="G101" s="3" t="n"/>
      <c r="H101" s="3" t="n"/>
      <c r="I101" s="3" t="n"/>
    </row>
    <row r="102">
      <c r="A102" s="8" t="inlineStr">
        <is>
          <t>TOTAL</t>
        </is>
      </c>
      <c r="B102" s="9" t="n"/>
      <c r="C102" s="9" t="n"/>
      <c r="D102" s="9" t="n"/>
      <c r="E102" s="9" t="n"/>
      <c r="F102" s="10">
        <f>SUM(F91:F101)</f>
        <v/>
      </c>
      <c r="G102" s="9" t="n">
        <v>667</v>
      </c>
      <c r="H102" s="9" t="n"/>
      <c r="I102" s="10">
        <f>IF(G102&gt;0,F102/G102,0)</f>
        <v/>
      </c>
    </row>
    <row r="104">
      <c r="A104" s="6" t="inlineStr">
        <is>
          <t>Mini Fancy</t>
        </is>
      </c>
      <c r="G104" t="n">
        <v>1</v>
      </c>
      <c r="H104" t="inlineStr">
        <is>
          <t>porcion</t>
        </is>
      </c>
    </row>
    <row r="105">
      <c r="A105" s="3" t="n"/>
      <c r="B105" s="3" t="inlineStr">
        <is>
          <t>Papa Waffle 27LB</t>
        </is>
      </c>
      <c r="C105" s="3" t="n">
        <v>0.35</v>
      </c>
      <c r="D105" s="3" t="inlineStr">
        <is>
          <t>lb</t>
        </is>
      </c>
      <c r="E105" s="7">
        <f>IFERROR(VLOOKUP(B105,ListaIngredientes,4,FALSE),0)</f>
        <v/>
      </c>
      <c r="F105" s="7">
        <f>C105*E105</f>
        <v/>
      </c>
      <c r="G105" s="3" t="n"/>
      <c r="H105" s="3" t="n"/>
      <c r="I105" s="3" t="n"/>
    </row>
    <row r="106">
      <c r="A106" s="3" t="n"/>
      <c r="B106" s="3" t="inlineStr">
        <is>
          <t>Papa Blanca 20lb</t>
        </is>
      </c>
      <c r="C106" s="3" t="n">
        <v>0.35</v>
      </c>
      <c r="D106" s="3" t="inlineStr">
        <is>
          <t>lb</t>
        </is>
      </c>
      <c r="E106" s="7">
        <f>IFERROR(VLOOKUP(B106,ListaIngredientes,4,FALSE),0)</f>
        <v/>
      </c>
      <c r="F106" s="7">
        <f>C106*E106</f>
        <v/>
      </c>
      <c r="G106" s="3" t="n"/>
      <c r="H106" s="3" t="n"/>
      <c r="I106" s="3" t="n"/>
    </row>
    <row r="107">
      <c r="A107" s="8" t="inlineStr">
        <is>
          <t>TOTAL</t>
        </is>
      </c>
      <c r="B107" s="9" t="n"/>
      <c r="C107" s="9" t="n"/>
      <c r="D107" s="9" t="n"/>
      <c r="E107" s="9" t="n"/>
      <c r="F107" s="10">
        <f>SUM(F105:F106)</f>
        <v/>
      </c>
      <c r="G107" s="9" t="n">
        <v>1</v>
      </c>
      <c r="H107" s="9" t="n"/>
      <c r="I107" s="10">
        <f>IF(G107&gt;0,F107/G107,0)</f>
        <v/>
      </c>
    </row>
    <row r="109">
      <c r="A109" s="6" t="inlineStr">
        <is>
          <t>Papa Blanca</t>
        </is>
      </c>
      <c r="G109" t="n">
        <v>1</v>
      </c>
      <c r="H109" t="inlineStr">
        <is>
          <t>porcion</t>
        </is>
      </c>
    </row>
    <row r="110">
      <c r="A110" s="3" t="n"/>
      <c r="B110" s="3" t="inlineStr">
        <is>
          <t>Papa Blanca 20lb</t>
        </is>
      </c>
      <c r="C110" s="3" t="n">
        <v>0.35</v>
      </c>
      <c r="D110" s="3" t="inlineStr">
        <is>
          <t>lb</t>
        </is>
      </c>
      <c r="E110" s="7">
        <f>IFERROR(VLOOKUP(B110,ListaIngredientes,4,FALSE),0)</f>
        <v/>
      </c>
      <c r="F110" s="7">
        <f>C110*E110</f>
        <v/>
      </c>
      <c r="G110" s="3" t="n"/>
      <c r="H110" s="3" t="n"/>
      <c r="I110" s="3" t="n"/>
    </row>
    <row r="111">
      <c r="A111" s="8" t="inlineStr">
        <is>
          <t>TOTAL</t>
        </is>
      </c>
      <c r="B111" s="9" t="n"/>
      <c r="C111" s="9" t="n"/>
      <c r="D111" s="9" t="n"/>
      <c r="E111" s="9" t="n"/>
      <c r="F111" s="10">
        <f>SUM(F110:F110)</f>
        <v/>
      </c>
      <c r="G111" s="9" t="n">
        <v>1</v>
      </c>
      <c r="H111" s="9" t="n"/>
      <c r="I111" s="10">
        <f>IF(G111&gt;0,F111/G111,0)</f>
        <v/>
      </c>
    </row>
    <row r="113">
      <c r="A113" s="6" t="inlineStr">
        <is>
          <t>Papa Sazonada</t>
        </is>
      </c>
      <c r="G113" t="n">
        <v>1</v>
      </c>
      <c r="H113" t="inlineStr">
        <is>
          <t>porcion</t>
        </is>
      </c>
    </row>
    <row r="114">
      <c r="A114" s="3" t="n"/>
      <c r="B114" s="3" t="inlineStr">
        <is>
          <t>Cheddar Porcionado (Bolsa 2lb)</t>
        </is>
      </c>
      <c r="C114" s="3" t="n">
        <v>0.25</v>
      </c>
      <c r="D114" s="3" t="inlineStr">
        <is>
          <t>porcion</t>
        </is>
      </c>
      <c r="E114" s="11" t="inlineStr">
        <is>
          <t>(sub-receta)</t>
        </is>
      </c>
      <c r="F114" s="11" t="n">
        <v>0</v>
      </c>
      <c r="G114" s="3" t="n"/>
      <c r="H114" s="3" t="n"/>
      <c r="I114" s="3" t="n"/>
    </row>
    <row r="115">
      <c r="A115" s="3" t="n"/>
      <c r="B115" s="3" t="inlineStr">
        <is>
          <t>Salsa Chipotle</t>
        </is>
      </c>
      <c r="C115" s="3" t="n">
        <v>0.25</v>
      </c>
      <c r="D115" s="3" t="inlineStr">
        <is>
          <t>porcion</t>
        </is>
      </c>
      <c r="E115" s="11" t="inlineStr">
        <is>
          <t>(sub-receta)</t>
        </is>
      </c>
      <c r="F115" s="11" t="n">
        <v>0</v>
      </c>
      <c r="G115" s="3" t="n"/>
      <c r="H115" s="3" t="n"/>
      <c r="I115" s="3" t="n"/>
    </row>
    <row r="116">
      <c r="A116" s="3" t="n"/>
      <c r="B116" s="3" t="inlineStr">
        <is>
          <t>Salsa Ketchup GL. 4X3.5 KG MC Cormick</t>
        </is>
      </c>
      <c r="C116" s="3" t="n">
        <v>0.25</v>
      </c>
      <c r="D116" s="3" t="inlineStr">
        <is>
          <t>oz</t>
        </is>
      </c>
      <c r="E116" s="7">
        <f>IFERROR(VLOOKUP(B116,ListaIngredientes,4,FALSE),0)</f>
        <v/>
      </c>
      <c r="F116" s="7">
        <f>C116*E116</f>
        <v/>
      </c>
      <c r="G116" s="3" t="n"/>
      <c r="H116" s="3" t="n"/>
      <c r="I116" s="3" t="n"/>
    </row>
    <row r="117">
      <c r="A117" s="3" t="n"/>
      <c r="B117" s="3" t="inlineStr">
        <is>
          <t>Mayonesa Hellmans Real</t>
        </is>
      </c>
      <c r="C117" s="3" t="n">
        <v>0.25</v>
      </c>
      <c r="D117" s="3" t="inlineStr">
        <is>
          <t>oz</t>
        </is>
      </c>
      <c r="E117" s="7">
        <f>IFERROR(VLOOKUP(B117,ListaIngredientes,4,FALSE),0)</f>
        <v/>
      </c>
      <c r="F117" s="7">
        <f>C117*E117</f>
        <v/>
      </c>
      <c r="G117" s="3" t="n"/>
      <c r="H117" s="3" t="n"/>
      <c r="I117" s="3" t="n"/>
    </row>
    <row r="118">
      <c r="A118" s="3" t="n"/>
      <c r="B118" s="3" t="inlineStr">
        <is>
          <t>Papa Sazonadas 30lb</t>
        </is>
      </c>
      <c r="C118" s="3" t="n">
        <v>0.35</v>
      </c>
      <c r="D118" s="3" t="inlineStr">
        <is>
          <t>lb</t>
        </is>
      </c>
      <c r="E118" s="7">
        <f>IFERROR(VLOOKUP(B118,ListaIngredientes,4,FALSE),0)</f>
        <v/>
      </c>
      <c r="F118" s="7">
        <f>C118*E118</f>
        <v/>
      </c>
      <c r="G118" s="3" t="n"/>
      <c r="H118" s="3" t="n"/>
      <c r="I118" s="3" t="n"/>
    </row>
    <row r="119">
      <c r="A119" s="8" t="inlineStr">
        <is>
          <t>TOTAL</t>
        </is>
      </c>
      <c r="B119" s="9" t="n"/>
      <c r="C119" s="9" t="n"/>
      <c r="D119" s="9" t="n"/>
      <c r="E119" s="9" t="n"/>
      <c r="F119" s="10">
        <f>SUM(F114:F118)</f>
        <v/>
      </c>
      <c r="G119" s="9" t="n">
        <v>1</v>
      </c>
      <c r="H119" s="9" t="n"/>
      <c r="I119" s="10">
        <f>IF(G119&gt;0,F119/G119,0)</f>
        <v/>
      </c>
    </row>
    <row r="121">
      <c r="A121" s="6" t="inlineStr">
        <is>
          <t>Papa Waffle</t>
        </is>
      </c>
      <c r="G121" t="n">
        <v>1</v>
      </c>
      <c r="H121" t="inlineStr">
        <is>
          <t>porcion</t>
        </is>
      </c>
    </row>
    <row r="122">
      <c r="A122" s="3" t="n"/>
      <c r="B122" s="3" t="inlineStr">
        <is>
          <t>Papa Waffle 27LB</t>
        </is>
      </c>
      <c r="C122" s="3" t="n">
        <v>0.35</v>
      </c>
      <c r="D122" s="3" t="inlineStr">
        <is>
          <t>lb</t>
        </is>
      </c>
      <c r="E122" s="7">
        <f>IFERROR(VLOOKUP(B122,ListaIngredientes,4,FALSE),0)</f>
        <v/>
      </c>
      <c r="F122" s="7">
        <f>C122*E122</f>
        <v/>
      </c>
      <c r="G122" s="3" t="n"/>
      <c r="H122" s="3" t="n"/>
      <c r="I122" s="3" t="n"/>
    </row>
    <row r="123">
      <c r="A123" s="8" t="inlineStr">
        <is>
          <t>TOTAL</t>
        </is>
      </c>
      <c r="B123" s="9" t="n"/>
      <c r="C123" s="9" t="n"/>
      <c r="D123" s="9" t="n"/>
      <c r="E123" s="9" t="n"/>
      <c r="F123" s="10">
        <f>SUM(F122:F122)</f>
        <v/>
      </c>
      <c r="G123" s="9" t="n">
        <v>1</v>
      </c>
      <c r="H123" s="9" t="n"/>
      <c r="I123" s="10">
        <f>IF(G123&gt;0,F123/G123,0)</f>
        <v/>
      </c>
    </row>
    <row r="125">
      <c r="A125" s="6" t="inlineStr">
        <is>
          <t>Ranch Porcionado</t>
        </is>
      </c>
      <c r="G125" t="n">
        <v>1</v>
      </c>
      <c r="H125" t="inlineStr">
        <is>
          <t>bote</t>
        </is>
      </c>
    </row>
    <row r="126">
      <c r="A126" s="3" t="n"/>
      <c r="B126" s="3" t="inlineStr">
        <is>
          <t>Ranch 1 Galon</t>
        </is>
      </c>
      <c r="C126" s="3" t="n">
        <v>1</v>
      </c>
      <c r="D126" s="3" t="inlineStr">
        <is>
          <t>unidad</t>
        </is>
      </c>
      <c r="E126" s="7">
        <f>IFERROR(VLOOKUP(B126,ListaIngredientes,4,FALSE),0)</f>
        <v/>
      </c>
      <c r="F126" s="7">
        <f>C126*E126</f>
        <v/>
      </c>
      <c r="G126" s="3" t="n"/>
      <c r="H126" s="3" t="n"/>
      <c r="I126" s="3" t="n"/>
    </row>
    <row r="127">
      <c r="A127" s="8" t="inlineStr">
        <is>
          <t>TOTAL</t>
        </is>
      </c>
      <c r="B127" s="9" t="n"/>
      <c r="C127" s="9" t="n"/>
      <c r="D127" s="9" t="n"/>
      <c r="E127" s="9" t="n"/>
      <c r="F127" s="10">
        <f>SUM(F126:F126)</f>
        <v/>
      </c>
      <c r="G127" s="9" t="n">
        <v>1</v>
      </c>
      <c r="H127" s="9" t="n"/>
      <c r="I127" s="10">
        <f>IF(G127&gt;0,F127/G127,0)</f>
        <v/>
      </c>
    </row>
    <row r="129">
      <c r="A129" s="6" t="inlineStr">
        <is>
          <t>Sal de Hamburguesa</t>
        </is>
      </c>
      <c r="G129" t="n">
        <v>1000</v>
      </c>
      <c r="H129" t="inlineStr">
        <is>
          <t>porcion</t>
        </is>
      </c>
    </row>
    <row r="130">
      <c r="A130" s="3" t="n"/>
      <c r="B130" s="3" t="inlineStr">
        <is>
          <t>Sal fina (arroba 25 lb)</t>
        </is>
      </c>
      <c r="C130" s="3" t="n">
        <v>900</v>
      </c>
      <c r="D130" s="3" t="inlineStr">
        <is>
          <t>g</t>
        </is>
      </c>
      <c r="E130" s="7">
        <f>IFERROR(VLOOKUP(B130,ListaIngredientes,4,FALSE),0)</f>
        <v/>
      </c>
      <c r="F130" s="7">
        <f>C130*E130</f>
        <v/>
      </c>
      <c r="G130" s="3" t="n"/>
      <c r="H130" s="3" t="n"/>
      <c r="I130" s="3" t="n"/>
    </row>
    <row r="131">
      <c r="A131" s="3" t="n"/>
      <c r="B131" s="3" t="inlineStr">
        <is>
          <t>Glutamato Monosodico</t>
        </is>
      </c>
      <c r="C131" s="3" t="n">
        <v>100</v>
      </c>
      <c r="D131" s="3" t="inlineStr">
        <is>
          <t>g</t>
        </is>
      </c>
      <c r="E131" s="7">
        <f>IFERROR(VLOOKUP(B131,ListaIngredientes,4,FALSE),0)</f>
        <v/>
      </c>
      <c r="F131" s="7">
        <f>C131*E131</f>
        <v/>
      </c>
      <c r="G131" s="3" t="n"/>
      <c r="H131" s="3" t="n"/>
      <c r="I131" s="3" t="n"/>
    </row>
    <row r="132">
      <c r="A132" s="8" t="inlineStr">
        <is>
          <t>TOTAL</t>
        </is>
      </c>
      <c r="B132" s="9" t="n"/>
      <c r="C132" s="9" t="n"/>
      <c r="D132" s="9" t="n"/>
      <c r="E132" s="9" t="n"/>
      <c r="F132" s="10">
        <f>SUM(F130:F131)</f>
        <v/>
      </c>
      <c r="G132" s="9" t="n">
        <v>1000</v>
      </c>
      <c r="H132" s="9" t="n"/>
      <c r="I132" s="10">
        <f>IF(G132&gt;0,F132/G132,0)</f>
        <v/>
      </c>
    </row>
    <row r="134">
      <c r="A134" s="6" t="inlineStr">
        <is>
          <t>Salsa Chipotle</t>
        </is>
      </c>
      <c r="G134" t="n">
        <v>477</v>
      </c>
      <c r="H134" t="inlineStr">
        <is>
          <t>porcion</t>
        </is>
      </c>
    </row>
    <row r="135">
      <c r="A135" s="3" t="n"/>
      <c r="B135" s="3" t="inlineStr">
        <is>
          <t>Aderezo Mayo Redu. Lipidos MC 4*3KG</t>
        </is>
      </c>
      <c r="C135" s="3" t="n">
        <v>4</v>
      </c>
      <c r="D135" s="3" t="inlineStr">
        <is>
          <t>bolsa</t>
        </is>
      </c>
      <c r="E135" s="7">
        <f>IFERROR(VLOOKUP(B135,ListaIngredientes,4,FALSE),0)</f>
        <v/>
      </c>
      <c r="F135" s="7">
        <f>C135*E135</f>
        <v/>
      </c>
      <c r="G135" s="3" t="n"/>
      <c r="H135" s="3" t="n"/>
      <c r="I135" s="3" t="n"/>
    </row>
    <row r="136">
      <c r="A136" s="3" t="n"/>
      <c r="B136" s="3" t="inlineStr">
        <is>
          <t>Chile Chipotle Adobado 24/380 GR</t>
        </is>
      </c>
      <c r="C136" s="3" t="n">
        <v>4</v>
      </c>
      <c r="D136" s="3" t="inlineStr">
        <is>
          <t>lata</t>
        </is>
      </c>
      <c r="E136" s="7">
        <f>IFERROR(VLOOKUP(B136,ListaIngredientes,4,FALSE),0)</f>
        <v/>
      </c>
      <c r="F136" s="7">
        <f>C136*E136</f>
        <v/>
      </c>
      <c r="G136" s="3" t="n"/>
      <c r="H136" s="3" t="n"/>
      <c r="I136" s="3" t="n"/>
    </row>
    <row r="137">
      <c r="A137" s="8" t="inlineStr">
        <is>
          <t>TOTAL</t>
        </is>
      </c>
      <c r="B137" s="9" t="n"/>
      <c r="C137" s="9" t="n"/>
      <c r="D137" s="9" t="n"/>
      <c r="E137" s="9" t="n"/>
      <c r="F137" s="10">
        <f>SUM(F135:F136)</f>
        <v/>
      </c>
      <c r="G137" s="9" t="n">
        <v>477</v>
      </c>
      <c r="H137" s="9" t="n"/>
      <c r="I137" s="10">
        <f>IF(G137&gt;0,F137/G137,0)</f>
        <v/>
      </c>
    </row>
    <row r="139">
      <c r="A139" s="6" t="inlineStr">
        <is>
          <t>Salsa Mil Islas</t>
        </is>
      </c>
      <c r="G139" t="n">
        <v>790</v>
      </c>
      <c r="H139" t="inlineStr">
        <is>
          <t>porcion</t>
        </is>
      </c>
    </row>
    <row r="140">
      <c r="A140" s="3" t="n"/>
      <c r="B140" s="3" t="inlineStr">
        <is>
          <t>535 Gran Onion</t>
        </is>
      </c>
      <c r="C140" s="3" t="n">
        <v>40</v>
      </c>
      <c r="D140" s="3" t="inlineStr">
        <is>
          <t>g</t>
        </is>
      </c>
      <c r="E140" s="7">
        <f>IFERROR(VLOOKUP(B140,ListaIngredientes,4,FALSE),0)</f>
        <v/>
      </c>
      <c r="F140" s="7">
        <f>C140*E140</f>
        <v/>
      </c>
      <c r="G140" s="3" t="n"/>
      <c r="H140" s="3" t="n"/>
      <c r="I140" s="3" t="n"/>
    </row>
    <row r="141">
      <c r="A141" s="3" t="n"/>
      <c r="B141" s="3" t="inlineStr">
        <is>
          <t>524550 Ajo Granulado</t>
        </is>
      </c>
      <c r="C141" s="3" t="n">
        <v>16</v>
      </c>
      <c r="D141" s="3" t="inlineStr">
        <is>
          <t>g</t>
        </is>
      </c>
      <c r="E141" s="7">
        <f>IFERROR(VLOOKUP(B141,ListaIngredientes,4,FALSE),0)</f>
        <v/>
      </c>
      <c r="F141" s="7">
        <f>C141*E141</f>
        <v/>
      </c>
      <c r="G141" s="3" t="n"/>
      <c r="H141" s="3" t="n"/>
      <c r="I141" s="3" t="n"/>
    </row>
    <row r="142">
      <c r="A142" s="3" t="n"/>
      <c r="B142" s="3" t="inlineStr">
        <is>
          <t>55331 Pimienta Molida</t>
        </is>
      </c>
      <c r="C142" s="3" t="n">
        <v>16</v>
      </c>
      <c r="D142" s="3" t="inlineStr">
        <is>
          <t>g</t>
        </is>
      </c>
      <c r="E142" s="7">
        <f>IFERROR(VLOOKUP(B142,ListaIngredientes,4,FALSE),0)</f>
        <v/>
      </c>
      <c r="F142" s="7">
        <f>C142*E142</f>
        <v/>
      </c>
      <c r="G142" s="3" t="n"/>
      <c r="H142" s="3" t="n"/>
      <c r="I142" s="3" t="n"/>
    </row>
    <row r="143">
      <c r="A143" s="3" t="n"/>
      <c r="B143" s="3" t="inlineStr">
        <is>
          <t>278946 Salsa Inglesa</t>
        </is>
      </c>
      <c r="C143" s="3" t="n">
        <v>5</v>
      </c>
      <c r="D143" s="3" t="inlineStr">
        <is>
          <t>cucharada</t>
        </is>
      </c>
      <c r="E143" s="7">
        <f>IFERROR(VLOOKUP(B143,ListaIngredientes,4,FALSE),0)</f>
        <v/>
      </c>
      <c r="F143" s="7">
        <f>C143*E143</f>
        <v/>
      </c>
      <c r="G143" s="3" t="n"/>
      <c r="H143" s="3" t="n"/>
      <c r="I143" s="3" t="n"/>
    </row>
    <row r="144">
      <c r="A144" s="3" t="n"/>
      <c r="B144" s="3" t="inlineStr">
        <is>
          <t>Mostaza MC Cormick Galon Bolsa</t>
        </is>
      </c>
      <c r="C144" s="3" t="n">
        <v>4</v>
      </c>
      <c r="D144" s="3" t="inlineStr">
        <is>
          <t>taza</t>
        </is>
      </c>
      <c r="E144" s="7">
        <f>IFERROR(VLOOKUP(B144,ListaIngredientes,4,FALSE),0)</f>
        <v/>
      </c>
      <c r="F144" s="7">
        <f>C144*E144</f>
        <v/>
      </c>
      <c r="G144" s="3" t="n"/>
      <c r="H144" s="3" t="n"/>
      <c r="I144" s="3" t="n"/>
    </row>
    <row r="145">
      <c r="A145" s="3" t="n"/>
      <c r="B145" s="3" t="inlineStr">
        <is>
          <t>781060 MS Mayo</t>
        </is>
      </c>
      <c r="C145" s="3" t="n">
        <v>4</v>
      </c>
      <c r="D145" s="3" t="inlineStr">
        <is>
          <t>bote</t>
        </is>
      </c>
      <c r="E145" s="7">
        <f>IFERROR(VLOOKUP(B145,ListaIngredientes,4,FALSE),0)</f>
        <v/>
      </c>
      <c r="F145" s="7">
        <f>C145*E145</f>
        <v/>
      </c>
      <c r="G145" s="3" t="n"/>
      <c r="H145" s="3" t="n"/>
      <c r="I145" s="3" t="n"/>
    </row>
    <row r="146">
      <c r="A146" s="3" t="n"/>
      <c r="B146" s="3" t="inlineStr">
        <is>
          <t>Salsa Siracha</t>
        </is>
      </c>
      <c r="C146" s="3" t="n">
        <v>4</v>
      </c>
      <c r="D146" s="3" t="inlineStr">
        <is>
          <t>cucharada</t>
        </is>
      </c>
      <c r="E146" s="7">
        <f>IFERROR(VLOOKUP(B146,ListaIngredientes,4,FALSE),0)</f>
        <v/>
      </c>
      <c r="F146" s="7">
        <f>C146*E146</f>
        <v/>
      </c>
      <c r="G146" s="3" t="n"/>
      <c r="H146" s="3" t="n"/>
      <c r="I146" s="3" t="n"/>
    </row>
    <row r="147">
      <c r="A147" s="3" t="n"/>
      <c r="B147" s="3" t="inlineStr">
        <is>
          <t>Salsa Ketchup GL. 4X3.5 KG MC Cormick</t>
        </is>
      </c>
      <c r="C147" s="3" t="n">
        <v>2</v>
      </c>
      <c r="D147" s="3" t="inlineStr">
        <is>
          <t>taza</t>
        </is>
      </c>
      <c r="E147" s="7">
        <f>IFERROR(VLOOKUP(B147,ListaIngredientes,4,FALSE),0)</f>
        <v/>
      </c>
      <c r="F147" s="7">
        <f>C147*E147</f>
        <v/>
      </c>
      <c r="G147" s="3" t="n"/>
      <c r="H147" s="3" t="n"/>
      <c r="I147" s="3" t="n"/>
    </row>
    <row r="148">
      <c r="A148" s="3" t="n"/>
      <c r="B148" s="3" t="inlineStr">
        <is>
          <t>Pepinillo triturado bote</t>
        </is>
      </c>
      <c r="C148" s="3" t="n">
        <v>1</v>
      </c>
      <c r="D148" s="3" t="inlineStr">
        <is>
          <t>bote</t>
        </is>
      </c>
      <c r="E148" s="7">
        <f>IFERROR(VLOOKUP(B148,ListaIngredientes,4,FALSE),0)</f>
        <v/>
      </c>
      <c r="F148" s="7">
        <f>C148*E148</f>
        <v/>
      </c>
      <c r="G148" s="3" t="n"/>
      <c r="H148" s="3" t="n"/>
      <c r="I148" s="3" t="n"/>
    </row>
    <row r="149">
      <c r="A149" s="8" t="inlineStr">
        <is>
          <t>TOTAL</t>
        </is>
      </c>
      <c r="B149" s="9" t="n"/>
      <c r="C149" s="9" t="n"/>
      <c r="D149" s="9" t="n"/>
      <c r="E149" s="9" t="n"/>
      <c r="F149" s="10">
        <f>SUM(F140:F148)</f>
        <v/>
      </c>
      <c r="G149" s="9" t="n">
        <v>790</v>
      </c>
      <c r="H149" s="9" t="n"/>
      <c r="I149" s="10">
        <f>IF(G149&gt;0,F149/G149,0)</f>
        <v/>
      </c>
    </row>
    <row r="151">
      <c r="A151" s="6" t="inlineStr">
        <is>
          <t>Salsa Truffa</t>
        </is>
      </c>
      <c r="G151" t="n">
        <v>4</v>
      </c>
      <c r="H151" t="inlineStr">
        <is>
          <t>bolsa</t>
        </is>
      </c>
    </row>
    <row r="152">
      <c r="A152" s="3" t="n"/>
      <c r="B152" s="3" t="inlineStr">
        <is>
          <t>Aceite Extra Oliva de Trufa BO</t>
        </is>
      </c>
      <c r="C152" s="3" t="n">
        <v>62.5</v>
      </c>
      <c r="D152" s="3" t="inlineStr">
        <is>
          <t>ml</t>
        </is>
      </c>
      <c r="E152" s="7">
        <f>IFERROR(VLOOKUP(B152,ListaIngredientes,4,FALSE),0)</f>
        <v/>
      </c>
      <c r="F152" s="7">
        <f>C152*E152</f>
        <v/>
      </c>
      <c r="G152" s="3" t="n"/>
      <c r="H152" s="3" t="n"/>
      <c r="I152" s="3" t="n"/>
    </row>
    <row r="153">
      <c r="A153" s="3" t="n"/>
      <c r="B153" s="3" t="inlineStr">
        <is>
          <t>Mostaza Dijon Chardonay GL 2X105OZ</t>
        </is>
      </c>
      <c r="C153" s="3" t="n">
        <v>3</v>
      </c>
      <c r="D153" s="3" t="inlineStr">
        <is>
          <t>cucharada</t>
        </is>
      </c>
      <c r="E153" s="7">
        <f>IFERROR(VLOOKUP(B153,ListaIngredientes,4,FALSE),0)</f>
        <v/>
      </c>
      <c r="F153" s="7">
        <f>C153*E153</f>
        <v/>
      </c>
      <c r="G153" s="3" t="n"/>
      <c r="H153" s="3" t="n"/>
      <c r="I153" s="3" t="n"/>
    </row>
    <row r="154">
      <c r="A154" s="3" t="n"/>
      <c r="B154" s="3" t="inlineStr">
        <is>
          <t>Ralladura de Limon</t>
        </is>
      </c>
      <c r="C154" s="3" t="n">
        <v>1</v>
      </c>
      <c r="D154" s="3" t="inlineStr">
        <is>
          <t>unidad</t>
        </is>
      </c>
      <c r="E154" s="7">
        <f>IFERROR(VLOOKUP(B154,ListaIngredientes,4,FALSE),0)</f>
        <v/>
      </c>
      <c r="F154" s="7">
        <f>C154*E154</f>
        <v/>
      </c>
      <c r="G154" s="3" t="n"/>
      <c r="H154" s="3" t="n"/>
      <c r="I154" s="3" t="n"/>
    </row>
    <row r="155">
      <c r="A155" s="3" t="n"/>
      <c r="B155" s="3" t="inlineStr">
        <is>
          <t>781060 MS Mayo</t>
        </is>
      </c>
      <c r="C155" s="3" t="n">
        <v>1</v>
      </c>
      <c r="D155" s="3" t="inlineStr">
        <is>
          <t>bote</t>
        </is>
      </c>
      <c r="E155" s="7">
        <f>IFERROR(VLOOKUP(B155,ListaIngredientes,4,FALSE),0)</f>
        <v/>
      </c>
      <c r="F155" s="7">
        <f>C155*E155</f>
        <v/>
      </c>
      <c r="G155" s="3" t="n"/>
      <c r="H155" s="3" t="n"/>
      <c r="I155" s="3" t="n"/>
    </row>
    <row r="156">
      <c r="A156" s="3" t="n"/>
      <c r="B156" s="3" t="inlineStr">
        <is>
          <t>Jugo de Limon</t>
        </is>
      </c>
      <c r="C156" s="3" t="n">
        <v>0.5</v>
      </c>
      <c r="D156" s="3" t="inlineStr">
        <is>
          <t>unidad</t>
        </is>
      </c>
      <c r="E156" s="7">
        <f>IFERROR(VLOOKUP(B156,ListaIngredientes,4,FALSE),0)</f>
        <v/>
      </c>
      <c r="F156" s="7">
        <f>C156*E156</f>
        <v/>
      </c>
      <c r="G156" s="3" t="n"/>
      <c r="H156" s="3" t="n"/>
      <c r="I156" s="3" t="n"/>
    </row>
    <row r="157">
      <c r="A157" s="8" t="inlineStr">
        <is>
          <t>TOTAL</t>
        </is>
      </c>
      <c r="B157" s="9" t="n"/>
      <c r="C157" s="9" t="n"/>
      <c r="D157" s="9" t="n"/>
      <c r="E157" s="9" t="n"/>
      <c r="F157" s="10">
        <f>SUM(F152:F156)</f>
        <v/>
      </c>
      <c r="G157" s="9" t="n">
        <v>4</v>
      </c>
      <c r="H157" s="9" t="n"/>
      <c r="I157" s="10">
        <f>IF(G157&gt;0,F157/G157,0)</f>
        <v/>
      </c>
    </row>
    <row r="159">
      <c r="A159" s="6" t="inlineStr">
        <is>
          <t>Super Freak armado</t>
        </is>
      </c>
      <c r="G159" t="n">
        <v>1</v>
      </c>
      <c r="H159" t="inlineStr">
        <is>
          <t>unidad</t>
        </is>
      </c>
    </row>
    <row r="160">
      <c r="A160" s="3" t="n"/>
      <c r="B160" s="3" t="inlineStr">
        <is>
          <t>Cheddar Porcionado (Bolsa 2lb)</t>
        </is>
      </c>
      <c r="C160" s="3" t="n">
        <v>0.5</v>
      </c>
      <c r="D160" s="3" t="inlineStr">
        <is>
          <t>oz</t>
        </is>
      </c>
      <c r="E160" s="11" t="inlineStr">
        <is>
          <t>(sub-receta)</t>
        </is>
      </c>
      <c r="F160" s="11" t="n">
        <v>0</v>
      </c>
      <c r="G160" s="3" t="n"/>
      <c r="H160" s="3" t="n"/>
      <c r="I160" s="3" t="n"/>
    </row>
    <row r="161">
      <c r="A161" s="3" t="n"/>
      <c r="B161" s="3" t="inlineStr">
        <is>
          <t>Salsa Mil Islas</t>
        </is>
      </c>
      <c r="C161" s="3" t="n">
        <v>0.015625</v>
      </c>
      <c r="D161" s="3" t="inlineStr">
        <is>
          <t>bolsa</t>
        </is>
      </c>
      <c r="E161" s="11" t="inlineStr">
        <is>
          <t>(sub-receta)</t>
        </is>
      </c>
      <c r="F161" s="11" t="n">
        <v>0</v>
      </c>
      <c r="G161" s="3" t="n"/>
      <c r="H161" s="3" t="n"/>
      <c r="I161" s="3" t="n"/>
    </row>
    <row r="162">
      <c r="A162" s="3" t="n"/>
      <c r="B162" s="3" t="inlineStr">
        <is>
          <t>Papa Blanca 20lb</t>
        </is>
      </c>
      <c r="C162" s="3" t="n">
        <v>0.1</v>
      </c>
      <c r="D162" s="3" t="inlineStr">
        <is>
          <t>lb</t>
        </is>
      </c>
      <c r="E162" s="7">
        <f>IFERROR(VLOOKUP(B162,ListaIngredientes,4,FALSE),0)</f>
        <v/>
      </c>
      <c r="F162" s="7">
        <f>C162*E162</f>
        <v/>
      </c>
      <c r="G162" s="3" t="n"/>
      <c r="H162" s="3" t="n"/>
      <c r="I162" s="3" t="n"/>
    </row>
    <row r="163">
      <c r="A163" s="3" t="n"/>
      <c r="B163" s="3" t="inlineStr">
        <is>
          <t>Tocino Ahumado Chimex kg</t>
        </is>
      </c>
      <c r="C163" s="3" t="n">
        <v>0.0227</v>
      </c>
      <c r="D163" s="3" t="inlineStr">
        <is>
          <t>kg</t>
        </is>
      </c>
      <c r="E163" s="7">
        <f>IFERROR(VLOOKUP(B163,ListaIngredientes,4,FALSE),0)</f>
        <v/>
      </c>
      <c r="F163" s="7">
        <f>C163*E163</f>
        <v/>
      </c>
      <c r="G163" s="3" t="n"/>
      <c r="H163" s="3" t="n"/>
      <c r="I163" s="3" t="n"/>
    </row>
    <row r="164">
      <c r="A164" s="3" t="n"/>
      <c r="B164" s="3" t="inlineStr">
        <is>
          <t>Salchicha Parowsi paquete 25 unidades</t>
        </is>
      </c>
      <c r="C164" s="3" t="n">
        <v>1</v>
      </c>
      <c r="D164" s="3" t="inlineStr">
        <is>
          <t>unidad</t>
        </is>
      </c>
      <c r="E164" s="7">
        <f>IFERROR(VLOOKUP(B164,ListaIngredientes,4,FALSE),0)</f>
        <v/>
      </c>
      <c r="F164" s="7">
        <f>C164*E164*0.04</f>
        <v/>
      </c>
      <c r="G164" s="3" t="n"/>
      <c r="H164" s="3" t="n"/>
      <c r="I164" s="3" t="n"/>
    </row>
    <row r="165">
      <c r="A165" s="3" t="n"/>
      <c r="B165" s="3" t="inlineStr">
        <is>
          <t>Pan de Hot Dog Brioche bolsa 48 unidades</t>
        </is>
      </c>
      <c r="C165" s="3" t="n">
        <v>1</v>
      </c>
      <c r="D165" s="3" t="inlineStr">
        <is>
          <t>unidad</t>
        </is>
      </c>
      <c r="E165" s="7">
        <f>IFERROR(VLOOKUP(B165,ListaIngredientes,4,FALSE),0)</f>
        <v/>
      </c>
      <c r="F165" s="7">
        <f>C165*E165*0.020833</f>
        <v/>
      </c>
      <c r="G165" s="3" t="n"/>
      <c r="H165" s="3" t="n"/>
      <c r="I165" s="3" t="n"/>
    </row>
    <row r="166">
      <c r="A166" s="8" t="inlineStr">
        <is>
          <t>TOTAL</t>
        </is>
      </c>
      <c r="B166" s="9" t="n"/>
      <c r="C166" s="9" t="n"/>
      <c r="D166" s="9" t="n"/>
      <c r="E166" s="9" t="n"/>
      <c r="F166" s="10">
        <f>SUM(F160:F165)</f>
        <v/>
      </c>
      <c r="G166" s="9" t="n">
        <v>1</v>
      </c>
      <c r="H166" s="9" t="n"/>
      <c r="I166" s="10">
        <f>IF(G166&gt;0,F166/G166,0)</f>
        <v/>
      </c>
    </row>
  </sheetData>
  <dataValidations count="1">
    <dataValidation sqref="B4 B8 B9 B10 B14 B18 B19 B20 B21 B22 B23 B24 B25 B26 B27 B28 B29 B30 B31 B32 B33 B34 B35 B36 B37 B38 B39 B43 B44 B45 B46 B47 B48 B52 B53 B54 B58 B59 B60 B61 B62 B63 B64 B65 B66 B70 B71 B72 B73 B74 B75 B76 B77 B81 B82 B83 B84 B85 B86 B87 B91 B92 B93 B94 B95 B96 B97 B98 B99 B100 B101 B105 B106 B110 B114 B115 B116 B117 B118 B122 B126 B130 B131 B135 B136 B140 B141 B142 B143 B144 B145 B146 B147 B148 B152 B153 B154 B155 B156 B160 B161 B162 B163 B164 B165" showDropDown="0" showInputMessage="0" showErrorMessage="0" allowBlank="1" errorTitle="Ingrediente no encontrado" error="Seleccioná un ingrediente de Materia Prima" type="list">
      <formula1>'Materia Prima'!$B$3:$B$334</formula1>
    </dataValidation>
  </dataValidation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K56"/>
  <sheetViews>
    <sheetView workbookViewId="0">
      <pane ySplit="2" topLeftCell="A3" activePane="bottomLeft" state="frozen"/>
      <selection pane="bottomLeft" activeCell="A1" sqref="A1"/>
    </sheetView>
  </sheetViews>
  <sheetFormatPr baseColWidth="8" defaultRowHeight="15"/>
  <cols>
    <col width="30" customWidth="1" min="1" max="1"/>
    <col width="80" customWidth="1" min="2" max="2"/>
    <col width="12" customWidth="1" min="3" max="3"/>
    <col width="10" customWidth="1" min="4" max="4"/>
    <col width="10" customWidth="1" min="5" max="5"/>
    <col width="10" customWidth="1" min="6" max="6"/>
    <col width="16" customWidth="1" min="7" max="7"/>
    <col width="14" customWidth="1" min="8" max="8"/>
    <col width="14" customWidth="1" min="9" max="9"/>
    <col width="14" customWidth="1" min="10" max="10"/>
    <col width="12" customWidth="1" min="11" max="11"/>
  </cols>
  <sheetData>
    <row r="1">
      <c r="A1" s="1" t="inlineStr">
        <is>
          <t>Ítem de menú</t>
        </is>
      </c>
      <c r="B1" s="1" t="inlineStr">
        <is>
          <t>Componente</t>
        </is>
      </c>
      <c r="C1" s="1" t="inlineStr">
        <is>
          <t>Tipo</t>
        </is>
      </c>
      <c r="D1" s="1" t="inlineStr">
        <is>
          <t>Cantidad</t>
        </is>
      </c>
      <c r="E1" s="1" t="inlineStr">
        <is>
          <t>Unidad</t>
        </is>
      </c>
      <c r="F1" s="1" t="inlineStr">
        <is>
          <t>Factor stock</t>
        </is>
      </c>
      <c r="G1" s="1" t="inlineStr">
        <is>
          <t>Costo/unit (BUSCARV)</t>
        </is>
      </c>
      <c r="H1" s="1" t="inlineStr">
        <is>
          <t>Costo línea</t>
        </is>
      </c>
      <c r="I1" s="1" t="inlineStr">
        <is>
          <t>Precio venta</t>
        </is>
      </c>
      <c r="J1" s="1" t="inlineStr">
        <is>
          <t>Costo total</t>
        </is>
      </c>
      <c r="K1" s="1" t="inlineStr">
        <is>
          <t>Margen %</t>
        </is>
      </c>
    </row>
    <row r="2">
      <c r="A2" s="2" t="inlineStr">
        <is>
          <t>menu_item</t>
        </is>
      </c>
      <c r="B2" s="2" t="inlineStr">
        <is>
          <t>componente</t>
        </is>
      </c>
      <c r="C2" s="2" t="inlineStr">
        <is>
          <t>tipo</t>
        </is>
      </c>
      <c r="D2" s="2" t="inlineStr">
        <is>
          <t>cantidad</t>
        </is>
      </c>
      <c r="E2" s="2" t="inlineStr">
        <is>
          <t>unidad</t>
        </is>
      </c>
      <c r="F2" s="2" t="inlineStr">
        <is>
          <t>factor</t>
        </is>
      </c>
      <c r="G2" s="2" t="inlineStr">
        <is>
          <t>costo_unit</t>
        </is>
      </c>
      <c r="H2" s="2" t="inlineStr">
        <is>
          <t>costo_linea</t>
        </is>
      </c>
      <c r="I2" s="2" t="inlineStr">
        <is>
          <t>precio_venta</t>
        </is>
      </c>
      <c r="J2" s="2" t="inlineStr">
        <is>
          <t>costo_total</t>
        </is>
      </c>
      <c r="K2" s="2" t="inlineStr">
        <is>
          <t>margen_%</t>
        </is>
      </c>
    </row>
    <row r="3">
      <c r="A3" s="12" t="inlineStr">
        <is>
          <t>Adivina la Marca</t>
        </is>
      </c>
      <c r="B3" s="3" t="inlineStr">
        <is>
          <t>Adivina la Maraca paquete ×20</t>
        </is>
      </c>
      <c r="C3" s="3" t="inlineStr">
        <is>
          <t>plato_menu</t>
        </is>
      </c>
      <c r="D3" s="3" t="n">
        <v>2</v>
      </c>
      <c r="E3" s="3" t="n"/>
      <c r="F3" s="3" t="n"/>
      <c r="G3" s="3" t="n"/>
      <c r="H3" s="3" t="n"/>
      <c r="I3" s="3" t="n"/>
      <c r="J3" s="4" t="n">
        <v>1.65</v>
      </c>
      <c r="K3" s="13">
        <f>IF(I3&gt;0,(I3-J3)/I3,0)</f>
        <v/>
      </c>
    </row>
    <row r="4">
      <c r="A4" s="12" t="inlineStr">
        <is>
          <t>Agrandado Soda y Papa</t>
        </is>
      </c>
      <c r="B4" s="3" t="inlineStr">
        <is>
          <t>Papa Sazonada ×1</t>
        </is>
      </c>
      <c r="C4" s="3" t="inlineStr">
        <is>
          <t>plato_menu</t>
        </is>
      </c>
      <c r="D4" s="3" t="n">
        <v>1</v>
      </c>
      <c r="E4" s="3" t="n"/>
      <c r="F4" s="3" t="n"/>
      <c r="G4" s="3" t="n"/>
      <c r="H4" s="3" t="n"/>
      <c r="I4" s="3" t="n"/>
      <c r="J4" s="4" t="n">
        <v>0.5331</v>
      </c>
      <c r="K4" s="13">
        <f>IF(I4&gt;0,(I4-J4)/I4,0)</f>
        <v/>
      </c>
    </row>
    <row r="5">
      <c r="A5" s="12" t="inlineStr">
        <is>
          <t>Aros de Cebolla</t>
        </is>
      </c>
      <c r="B5" s="3" t="inlineStr">
        <is>
          <t>Ranch ×2 + Aros ×1</t>
        </is>
      </c>
      <c r="C5" s="3" t="inlineStr">
        <is>
          <t>plato_menu</t>
        </is>
      </c>
      <c r="D5" s="3" t="n">
        <v>2</v>
      </c>
      <c r="E5" s="3" t="n"/>
      <c r="F5" s="3" t="n"/>
      <c r="G5" s="3" t="n"/>
      <c r="H5" s="3" t="n"/>
      <c r="I5" s="3" t="n"/>
      <c r="J5" s="4" t="n">
        <v>0.3702</v>
      </c>
      <c r="K5" s="13">
        <f>IF(I5&gt;0,(I5-J5)/I5,0)</f>
        <v/>
      </c>
    </row>
    <row r="6">
      <c r="A6" s="12" t="inlineStr">
        <is>
          <t>Burger Box</t>
        </is>
      </c>
      <c r="B6" s="3" t="inlineStr">
        <is>
          <t>Hamburguesa ×2 + Freakie Dog ×2 + Papa ×2 + Pepperonchini ×2</t>
        </is>
      </c>
      <c r="C6" s="14" t="inlineStr">
        <is>
          <t>combo</t>
        </is>
      </c>
      <c r="D6" s="3" t="n">
        <v>4</v>
      </c>
      <c r="E6" s="3" t="n"/>
      <c r="F6" s="3" t="n"/>
      <c r="G6" s="3" t="n"/>
      <c r="H6" s="3" t="n"/>
      <c r="I6" s="3" t="n"/>
      <c r="J6" s="4" t="n">
        <v>7.0205</v>
      </c>
      <c r="K6" s="13">
        <f>IF(I6&gt;0,(I6-J6)/I6,0)</f>
        <v/>
      </c>
    </row>
    <row r="7">
      <c r="A7" s="12" t="inlineStr">
        <is>
          <t>Burger Duo</t>
        </is>
      </c>
      <c r="B7" s="3" t="inlineStr">
        <is>
          <t>Hamburguesa ×2 + Papa ×2</t>
        </is>
      </c>
      <c r="C7" s="14" t="inlineStr">
        <is>
          <t>combo</t>
        </is>
      </c>
      <c r="D7" s="3" t="n">
        <v>2</v>
      </c>
      <c r="E7" s="3" t="n"/>
      <c r="F7" s="3" t="n"/>
      <c r="G7" s="3" t="n"/>
      <c r="H7" s="3" t="n"/>
      <c r="I7" s="3" t="n"/>
      <c r="J7" s="4" t="n">
        <v>5.2292</v>
      </c>
      <c r="K7" s="13">
        <f>IF(I7&gt;0,(I7-J7)/I7,0)</f>
        <v/>
      </c>
    </row>
    <row r="8">
      <c r="A8" s="12" t="inlineStr">
        <is>
          <t>Chili Duo</t>
        </is>
      </c>
      <c r="B8" s="3" t="inlineStr">
        <is>
          <t>Chilli dog ×2 + Papa ×2 + Jalapeños ×2 + Aros ×1 + Chili ×0.25</t>
        </is>
      </c>
      <c r="C8" s="14" t="inlineStr">
        <is>
          <t>combo</t>
        </is>
      </c>
      <c r="D8" s="3" t="n">
        <v>6</v>
      </c>
      <c r="E8" s="3" t="n"/>
      <c r="F8" s="3" t="n"/>
      <c r="G8" s="3" t="n"/>
      <c r="H8" s="3" t="n"/>
      <c r="I8" s="3" t="n"/>
      <c r="J8" s="4" t="n">
        <v>5.5158</v>
      </c>
      <c r="K8" s="13">
        <f>IF(I8&gt;0,(I8-J8)/I8,0)</f>
        <v/>
      </c>
    </row>
    <row r="9">
      <c r="A9" s="12" t="inlineStr">
        <is>
          <t>Chili Mini Fancys</t>
        </is>
      </c>
      <c r="B9" s="3" t="inlineStr">
        <is>
          <t>Mini Fancy ×1 + Chili ×0.0625</t>
        </is>
      </c>
      <c r="C9" s="14" t="inlineStr">
        <is>
          <t>combo</t>
        </is>
      </c>
      <c r="D9" s="3" t="n">
        <v>2</v>
      </c>
      <c r="E9" s="3" t="n"/>
      <c r="F9" s="3" t="n"/>
      <c r="G9" s="3" t="n"/>
      <c r="H9" s="3" t="n"/>
      <c r="I9" s="3" t="n"/>
      <c r="J9" s="4" t="n">
        <v>1.5342</v>
      </c>
      <c r="K9" s="13">
        <f>IF(I9&gt;0,(I9-J9)/I9,0)</f>
        <v/>
      </c>
    </row>
    <row r="10">
      <c r="A10" s="12" t="inlineStr">
        <is>
          <t>Chili Mini Fancys</t>
        </is>
      </c>
      <c r="B10" s="3" t="inlineStr"/>
      <c r="C10" s="3" t="inlineStr">
        <is>
          <t>plato_menu</t>
        </is>
      </c>
      <c r="D10" s="3" t="n">
        <v>0</v>
      </c>
      <c r="E10" s="3" t="n"/>
      <c r="F10" s="3" t="n"/>
      <c r="G10" s="3" t="n"/>
      <c r="H10" s="3" t="n"/>
      <c r="I10" s="3" t="n"/>
      <c r="J10" s="5" t="n">
        <v>0</v>
      </c>
      <c r="K10" s="13">
        <f>IF(I10&gt;0,(I10-J10)/I10,0)</f>
        <v/>
      </c>
    </row>
    <row r="11">
      <c r="A11" s="12" t="inlineStr">
        <is>
          <t>Chili porción</t>
        </is>
      </c>
      <c r="B11" s="3" t="inlineStr">
        <is>
          <t>Chili ×0.125</t>
        </is>
      </c>
      <c r="C11" s="3" t="inlineStr">
        <is>
          <t>plato_menu</t>
        </is>
      </c>
      <c r="D11" s="3" t="n">
        <v>1</v>
      </c>
      <c r="E11" s="3" t="n"/>
      <c r="F11" s="3" t="n"/>
      <c r="G11" s="3" t="n"/>
      <c r="H11" s="3" t="n"/>
      <c r="I11" s="3" t="n"/>
      <c r="J11" s="4" t="n">
        <v>1.2162</v>
      </c>
      <c r="K11" s="13">
        <f>IF(I11&gt;0,(I11-J11)/I11,0)</f>
        <v/>
      </c>
    </row>
    <row r="12">
      <c r="A12" s="12" t="inlineStr">
        <is>
          <t>Chilli Dog</t>
        </is>
      </c>
      <c r="B12" s="3" t="inlineStr">
        <is>
          <t>Chilli dog individual ×1</t>
        </is>
      </c>
      <c r="C12" s="3" t="inlineStr">
        <is>
          <t>plato_menu</t>
        </is>
      </c>
      <c r="D12" s="3" t="n">
        <v>1</v>
      </c>
      <c r="E12" s="3" t="n"/>
      <c r="F12" s="3" t="n"/>
      <c r="G12" s="3" t="n"/>
      <c r="H12" s="3" t="n"/>
      <c r="I12" s="3" t="n"/>
      <c r="J12" s="4" t="n">
        <v>0.7534999999999999</v>
      </c>
      <c r="K12" s="13">
        <f>IF(I12&gt;0,(I12-J12)/I12,0)</f>
        <v/>
      </c>
    </row>
    <row r="13">
      <c r="A13" s="12" t="inlineStr">
        <is>
          <t>Chilli dog individual</t>
        </is>
      </c>
      <c r="B13" s="3" t="inlineStr">
        <is>
          <t>Cheddar ×1 + Salchicha ×1 + Pan Berna ×1 + Chili ×0.0625</t>
        </is>
      </c>
      <c r="C13" s="3" t="inlineStr">
        <is>
          <t>plato_menu</t>
        </is>
      </c>
      <c r="D13" s="3" t="n">
        <v>4</v>
      </c>
      <c r="E13" s="3" t="n"/>
      <c r="F13" s="3" t="n"/>
      <c r="G13" s="3" t="n"/>
      <c r="H13" s="3" t="n"/>
      <c r="I13" s="3" t="n"/>
      <c r="J13" s="4" t="n">
        <v>0.7534999999999999</v>
      </c>
      <c r="K13" s="13">
        <f>IF(I13&gt;0,(I13-J13)/I13,0)</f>
        <v/>
      </c>
    </row>
    <row r="14">
      <c r="A14" s="12" t="inlineStr">
        <is>
          <t>Coca-Cola Combo</t>
        </is>
      </c>
      <c r="B14" s="3" t="inlineStr">
        <is>
          <t>Freakie Dog ×1 + Papa ×1</t>
        </is>
      </c>
      <c r="C14" s="14" t="inlineStr">
        <is>
          <t>combo</t>
        </is>
      </c>
      <c r="D14" s="3" t="n">
        <v>2</v>
      </c>
      <c r="E14" s="3" t="n"/>
      <c r="F14" s="3" t="n"/>
      <c r="G14" s="3" t="n"/>
      <c r="H14" s="3" t="n"/>
      <c r="I14" s="3" t="n"/>
      <c r="J14" s="4" t="n">
        <v>0.9053</v>
      </c>
      <c r="K14" s="13">
        <f>IF(I14&gt;0,(I14-J14)/I14,0)</f>
        <v/>
      </c>
    </row>
    <row r="15">
      <c r="A15" s="12" t="inlineStr">
        <is>
          <t>Coca-Cola Combo XL</t>
        </is>
      </c>
      <c r="B15" s="3" t="inlineStr">
        <is>
          <t>Freakie Dog ×2 + Jalapeños ×2 + Papa ×1</t>
        </is>
      </c>
      <c r="C15" s="14" t="inlineStr">
        <is>
          <t>combo</t>
        </is>
      </c>
      <c r="D15" s="3" t="n">
        <v>3</v>
      </c>
      <c r="E15" s="3" t="n"/>
      <c r="F15" s="3" t="n"/>
      <c r="G15" s="3" t="n"/>
      <c r="H15" s="3" t="n"/>
      <c r="I15" s="3" t="n"/>
      <c r="J15" s="4" t="n">
        <v>1.4149</v>
      </c>
      <c r="K15" s="13">
        <f>IF(I15&gt;0,(I15-J15)/I15,0)</f>
        <v/>
      </c>
    </row>
    <row r="16">
      <c r="A16" s="12" t="inlineStr">
        <is>
          <t>Combig</t>
        </is>
      </c>
      <c r="B16" s="3" t="inlineStr">
        <is>
          <t>Hamburguesa ×2 + Freakie Dog ×2 + Papa ×2 + Waffle + Blanca + Queso dorar</t>
        </is>
      </c>
      <c r="C16" s="14" t="inlineStr">
        <is>
          <t>combo</t>
        </is>
      </c>
      <c r="D16" s="3" t="n">
        <v>6</v>
      </c>
      <c r="E16" s="3" t="n"/>
      <c r="F16" s="3" t="n"/>
      <c r="G16" s="3" t="n"/>
      <c r="H16" s="3" t="n"/>
      <c r="I16" s="3" t="n"/>
      <c r="J16" s="4" t="n">
        <v>8.096399999999999</v>
      </c>
      <c r="K16" s="13">
        <f>IF(I16&gt;0,(I16-J16)/I16,0)</f>
        <v/>
      </c>
    </row>
    <row r="17">
      <c r="A17" s="12" t="inlineStr">
        <is>
          <t>Combo Chilli Dog</t>
        </is>
      </c>
      <c r="B17" s="3" t="inlineStr">
        <is>
          <t>Freakie Dog ×1 + Papa ×1 + Chili ×0.0625</t>
        </is>
      </c>
      <c r="C17" s="14" t="inlineStr">
        <is>
          <t>combo</t>
        </is>
      </c>
      <c r="D17" s="3" t="n">
        <v>3</v>
      </c>
      <c r="E17" s="3" t="n"/>
      <c r="F17" s="3" t="n"/>
      <c r="G17" s="3" t="n"/>
      <c r="H17" s="3" t="n"/>
      <c r="I17" s="3" t="n"/>
      <c r="J17" s="4" t="n">
        <v>1.5134</v>
      </c>
      <c r="K17" s="13">
        <f>IF(I17&gt;0,(I17-J17)/I17,0)</f>
        <v/>
      </c>
    </row>
    <row r="18">
      <c r="A18" s="12" t="inlineStr">
        <is>
          <t>Combo Chilli Dog (menú)</t>
        </is>
      </c>
      <c r="B18" s="3" t="inlineStr"/>
      <c r="C18" s="3" t="inlineStr">
        <is>
          <t>plato_menu</t>
        </is>
      </c>
      <c r="D18" s="3" t="n">
        <v>0</v>
      </c>
      <c r="E18" s="3" t="n"/>
      <c r="F18" s="3" t="n"/>
      <c r="G18" s="3" t="n"/>
      <c r="H18" s="3" t="n"/>
      <c r="I18" s="3" t="n"/>
      <c r="J18" s="5" t="n">
        <v>0</v>
      </c>
      <c r="K18" s="13">
        <f>IF(I18&gt;0,(I18-J18)/I18,0)</f>
        <v/>
      </c>
    </row>
    <row r="19">
      <c r="A19" s="12" t="inlineStr">
        <is>
          <t>Combo Duo</t>
        </is>
      </c>
      <c r="B19" s="3" t="inlineStr">
        <is>
          <t>Freakie Dog ×2 + Papa ×2</t>
        </is>
      </c>
      <c r="C19" s="14" t="inlineStr">
        <is>
          <t>combo</t>
        </is>
      </c>
      <c r="D19" s="3" t="n">
        <v>2</v>
      </c>
      <c r="E19" s="3" t="n"/>
      <c r="F19" s="3" t="n"/>
      <c r="G19" s="3" t="n"/>
      <c r="H19" s="3" t="n"/>
      <c r="I19" s="3" t="n"/>
      <c r="J19" s="4" t="n">
        <v>1.8106</v>
      </c>
      <c r="K19" s="13">
        <f>IF(I19&gt;0,(I19-J19)/I19,0)</f>
        <v/>
      </c>
    </row>
    <row r="20">
      <c r="A20" s="12" t="inlineStr">
        <is>
          <t>Combo Fancy Duo</t>
        </is>
      </c>
      <c r="B20" s="3" t="inlineStr">
        <is>
          <t>Freakie Dog ×2 + Waffle + Blanca</t>
        </is>
      </c>
      <c r="C20" s="14" t="inlineStr">
        <is>
          <t>combo</t>
        </is>
      </c>
      <c r="D20" s="3" t="n">
        <v>3</v>
      </c>
      <c r="E20" s="3" t="n"/>
      <c r="F20" s="3" t="n"/>
      <c r="G20" s="3" t="n"/>
      <c r="H20" s="3" t="n"/>
      <c r="I20" s="3" t="n"/>
      <c r="J20" s="4" t="n">
        <v>1.6715</v>
      </c>
      <c r="K20" s="13">
        <f>IF(I20&gt;0,(I20-J20)/I20,0)</f>
        <v/>
      </c>
    </row>
    <row r="21">
      <c r="A21" s="12" t="inlineStr">
        <is>
          <t>Combo Freakie Dog</t>
        </is>
      </c>
      <c r="B21" s="3" t="inlineStr">
        <is>
          <t>Freakie Dog ×1 + Papa ×1</t>
        </is>
      </c>
      <c r="C21" s="14" t="inlineStr">
        <is>
          <t>combo</t>
        </is>
      </c>
      <c r="D21" s="3" t="n">
        <v>2</v>
      </c>
      <c r="E21" s="3" t="n"/>
      <c r="F21" s="3" t="n"/>
      <c r="G21" s="3" t="n"/>
      <c r="H21" s="3" t="n"/>
      <c r="I21" s="3" t="n"/>
      <c r="J21" s="4" t="n">
        <v>0.9053</v>
      </c>
      <c r="K21" s="13">
        <f>IF(I21&gt;0,(I21-J21)/I21,0)</f>
        <v/>
      </c>
    </row>
    <row r="22">
      <c r="A22" s="12" t="inlineStr">
        <is>
          <t>Combo Freakie Dog (menú)</t>
        </is>
      </c>
      <c r="B22" s="3" t="inlineStr">
        <is>
          <t>Escabeche ×1 + Coca-Cola ×1 + Salchicha ×1 + Pan Berna ×1</t>
        </is>
      </c>
      <c r="C22" s="3" t="inlineStr">
        <is>
          <t>plato_menu</t>
        </is>
      </c>
      <c r="D22" s="3" t="n">
        <v>5</v>
      </c>
      <c r="E22" s="3" t="n"/>
      <c r="F22" s="3" t="n"/>
      <c r="G22" s="3" t="n"/>
      <c r="H22" s="3" t="n"/>
      <c r="I22" s="3" t="n"/>
      <c r="J22" s="4" t="n">
        <v>1.5884</v>
      </c>
      <c r="K22" s="13">
        <f>IF(I22&gt;0,(I22-J22)/I22,0)</f>
        <v/>
      </c>
    </row>
    <row r="23">
      <c r="A23" s="12" t="inlineStr">
        <is>
          <t>Combo Hamburguesa</t>
        </is>
      </c>
      <c r="B23" s="3" t="inlineStr">
        <is>
          <t>Hamburguesa ×1 + Papa ×1</t>
        </is>
      </c>
      <c r="C23" s="14" t="inlineStr">
        <is>
          <t>combo</t>
        </is>
      </c>
      <c r="D23" s="3" t="n">
        <v>2</v>
      </c>
      <c r="E23" s="3" t="n"/>
      <c r="F23" s="3" t="n"/>
      <c r="G23" s="3" t="n"/>
      <c r="H23" s="3" t="n"/>
      <c r="I23" s="3" t="n"/>
      <c r="J23" s="4" t="n">
        <v>2.6146</v>
      </c>
      <c r="K23" s="13">
        <f>IF(I23&gt;0,(I23-J23)/I23,0)</f>
        <v/>
      </c>
    </row>
    <row r="24">
      <c r="A24" s="12" t="inlineStr">
        <is>
          <t>Combo Hamburguesa (menú)</t>
        </is>
      </c>
      <c r="B24" s="3" t="inlineStr">
        <is>
          <t>Mezcla Smash ×2 + Coca-Cola ×1 + Pan Brioche ×1 + Sal ×1 + Queso ×0.33</t>
        </is>
      </c>
      <c r="C24" s="3" t="inlineStr">
        <is>
          <t>plato_menu</t>
        </is>
      </c>
      <c r="D24" s="3" t="n">
        <v>8</v>
      </c>
      <c r="E24" s="3" t="n"/>
      <c r="F24" s="3" t="n"/>
      <c r="G24" s="3" t="n"/>
      <c r="H24" s="3" t="n"/>
      <c r="I24" s="3" t="n"/>
      <c r="J24" s="4" t="n">
        <v>4.5416</v>
      </c>
      <c r="K24" s="13">
        <f>IF(I24&gt;0,(I24-J24)/I24,0)</f>
        <v/>
      </c>
    </row>
    <row r="25">
      <c r="A25" s="12" t="inlineStr">
        <is>
          <t>Combo Super Freak</t>
        </is>
      </c>
      <c r="B25" s="3" t="inlineStr">
        <is>
          <t>Super Freak ×1 + Papa ×1</t>
        </is>
      </c>
      <c r="C25" s="14" t="inlineStr">
        <is>
          <t>combo</t>
        </is>
      </c>
      <c r="D25" s="3" t="n">
        <v>2</v>
      </c>
      <c r="E25" s="3" t="n"/>
      <c r="F25" s="3" t="n"/>
      <c r="G25" s="3" t="n"/>
      <c r="H25" s="3" t="n"/>
      <c r="I25" s="3" t="n"/>
      <c r="J25" s="4" t="n">
        <v>1.131</v>
      </c>
      <c r="K25" s="13">
        <f>IF(I25&gt;0,(I25-J25)/I25,0)</f>
        <v/>
      </c>
    </row>
    <row r="26">
      <c r="A26" s="12" t="inlineStr">
        <is>
          <t>Combo Super Freak (menú)</t>
        </is>
      </c>
      <c r="B26" s="3" t="inlineStr">
        <is>
          <t>Mezcla Smash ×3 + Sal ×1 + Coca-Cola ×1 + Pan HD Brioche ×1 + Queso ×0.5</t>
        </is>
      </c>
      <c r="C26" s="3" t="inlineStr">
        <is>
          <t>plato_menu</t>
        </is>
      </c>
      <c r="D26" s="3" t="n">
        <v>6</v>
      </c>
      <c r="E26" s="3" t="n"/>
      <c r="F26" s="3" t="n"/>
      <c r="G26" s="3" t="n"/>
      <c r="H26" s="3" t="n"/>
      <c r="I26" s="3" t="n"/>
      <c r="J26" s="4" t="n">
        <v>5.0343</v>
      </c>
      <c r="K26" s="13">
        <f>IF(I26&gt;0,(I26-J26)/I26,0)</f>
        <v/>
      </c>
    </row>
    <row r="27">
      <c r="A27" s="12" t="inlineStr">
        <is>
          <t>Combo Trio</t>
        </is>
      </c>
      <c r="B27" s="3" t="inlineStr">
        <is>
          <t>Freakie Dog ×3 + Papa ×3</t>
        </is>
      </c>
      <c r="C27" s="14" t="inlineStr">
        <is>
          <t>combo</t>
        </is>
      </c>
      <c r="D27" s="3" t="n">
        <v>2</v>
      </c>
      <c r="E27" s="3" t="n"/>
      <c r="F27" s="3" t="n"/>
      <c r="G27" s="3" t="n"/>
      <c r="H27" s="3" t="n"/>
      <c r="I27" s="3" t="n"/>
      <c r="J27" s="4" t="n">
        <v>2.7159</v>
      </c>
      <c r="K27" s="13">
        <f>IF(I27&gt;0,(I27-J27)/I27,0)</f>
        <v/>
      </c>
    </row>
    <row r="28">
      <c r="A28" s="12" t="inlineStr">
        <is>
          <t>Combpleto</t>
        </is>
      </c>
      <c r="B28" s="3" t="inlineStr">
        <is>
          <t>Cheddar ×8 + FD ×2 + Papa ×2 + Hamburguesa ×2 + Queso + Cheesecake + Costra</t>
        </is>
      </c>
      <c r="C28" s="14" t="inlineStr">
        <is>
          <t>combo</t>
        </is>
      </c>
      <c r="D28" s="3" t="n">
        <v>7</v>
      </c>
      <c r="E28" s="3" t="n"/>
      <c r="F28" s="3" t="n"/>
      <c r="G28" s="3" t="n"/>
      <c r="H28" s="3" t="n"/>
      <c r="I28" s="3" t="n"/>
      <c r="J28" s="4" t="n">
        <v>9.927300000000001</v>
      </c>
      <c r="K28" s="13">
        <f>IF(I28&gt;0,(I28-J28)/I28,0)</f>
        <v/>
      </c>
    </row>
    <row r="29">
      <c r="A29" s="12" t="inlineStr">
        <is>
          <t>Combros</t>
        </is>
      </c>
      <c r="B29" s="3" t="inlineStr">
        <is>
          <t>FD ×4 + Ranch ×2 + Mayo ×1 + Cheddar ×1 + Papa ×1 + Aros ×1 + Ketchup ×1 + Blanca + Chipotle</t>
        </is>
      </c>
      <c r="C29" s="14" t="inlineStr">
        <is>
          <t>combo</t>
        </is>
      </c>
      <c r="D29" s="3" t="n">
        <v>9</v>
      </c>
      <c r="E29" s="3" t="n"/>
      <c r="F29" s="3" t="n"/>
      <c r="G29" s="3" t="n"/>
      <c r="H29" s="3" t="n"/>
      <c r="I29" s="3" t="n"/>
      <c r="J29" s="4" t="n">
        <v>3.0728</v>
      </c>
      <c r="K29" s="13">
        <f>IF(I29&gt;0,(I29-J29)/I29,0)</f>
        <v/>
      </c>
    </row>
    <row r="30">
      <c r="A30" s="12" t="inlineStr">
        <is>
          <t>Costra de Queso</t>
        </is>
      </c>
      <c r="B30" s="3" t="inlineStr">
        <is>
          <t>CM MIX costra ×0.085</t>
        </is>
      </c>
      <c r="C30" s="3" t="inlineStr">
        <is>
          <t>plato_menu</t>
        </is>
      </c>
      <c r="D30" s="3" t="n">
        <v>1</v>
      </c>
      <c r="E30" s="3" t="n"/>
      <c r="F30" s="3" t="n"/>
      <c r="G30" s="3" t="n"/>
      <c r="H30" s="3" t="n"/>
      <c r="I30" s="3" t="n"/>
      <c r="J30" s="4" t="n">
        <v>0.231</v>
      </c>
      <c r="K30" s="13">
        <f>IF(I30&gt;0,(I30-J30)/I30,0)</f>
        <v/>
      </c>
    </row>
    <row r="31">
      <c r="A31" s="12" t="inlineStr">
        <is>
          <t>Dip de Queso</t>
        </is>
      </c>
      <c r="B31" s="3" t="inlineStr"/>
      <c r="C31" s="3" t="inlineStr">
        <is>
          <t>plato_menu</t>
        </is>
      </c>
      <c r="D31" s="3" t="n">
        <v>0</v>
      </c>
      <c r="E31" s="3" t="n"/>
      <c r="F31" s="3" t="n"/>
      <c r="G31" s="3" t="n"/>
      <c r="H31" s="3" t="n"/>
      <c r="I31" s="3" t="n"/>
      <c r="J31" s="5" t="n">
        <v>0</v>
      </c>
      <c r="K31" s="13">
        <f>IF(I31&gt;0,(I31-J31)/I31,0)</f>
        <v/>
      </c>
    </row>
    <row r="32">
      <c r="A32" s="12" t="inlineStr">
        <is>
          <t>Duo Picossini</t>
        </is>
      </c>
      <c r="B32" s="3" t="inlineStr">
        <is>
          <t>Pepperonchini ×4 + Hamburguesa ×2 + Papa ×2 + Queso dorar</t>
        </is>
      </c>
      <c r="C32" s="14" t="inlineStr">
        <is>
          <t>combo</t>
        </is>
      </c>
      <c r="D32" s="3" t="n">
        <v>4</v>
      </c>
      <c r="E32" s="3" t="n"/>
      <c r="F32" s="3" t="n"/>
      <c r="G32" s="3" t="n"/>
      <c r="H32" s="3" t="n"/>
      <c r="I32" s="3" t="n"/>
      <c r="J32" s="4" t="n">
        <v>8.518700000000001</v>
      </c>
      <c r="K32" s="13">
        <f>IF(I32&gt;0,(I32-J32)/I32,0)</f>
        <v/>
      </c>
    </row>
    <row r="33">
      <c r="A33" s="12" t="inlineStr">
        <is>
          <t>Fancy Fries Combo</t>
        </is>
      </c>
      <c r="B33" s="3" t="inlineStr">
        <is>
          <t>FD ×4 + Papa ×4</t>
        </is>
      </c>
      <c r="C33" s="14" t="inlineStr">
        <is>
          <t>combo</t>
        </is>
      </c>
      <c r="D33" s="3" t="n">
        <v>2</v>
      </c>
      <c r="E33" s="3" t="n"/>
      <c r="F33" s="3" t="n"/>
      <c r="G33" s="3" t="n"/>
      <c r="H33" s="3" t="n"/>
      <c r="I33" s="3" t="n"/>
      <c r="J33" s="4" t="n">
        <v>3.6212</v>
      </c>
      <c r="K33" s="13">
        <f>IF(I33&gt;0,(I33-J33)/I33,0)</f>
        <v/>
      </c>
    </row>
    <row r="34">
      <c r="A34" s="12" t="inlineStr">
        <is>
          <t>Fancy Fries Combo (menú)</t>
        </is>
      </c>
      <c r="B34" s="3" t="inlineStr"/>
      <c r="C34" s="3" t="inlineStr">
        <is>
          <t>plato_menu</t>
        </is>
      </c>
      <c r="D34" s="3" t="n">
        <v>0</v>
      </c>
      <c r="E34" s="3" t="n"/>
      <c r="F34" s="3" t="n"/>
      <c r="G34" s="3" t="n"/>
      <c r="H34" s="3" t="n"/>
      <c r="I34" s="3" t="n"/>
      <c r="J34" s="5" t="n">
        <v>0</v>
      </c>
      <c r="K34" s="13">
        <f>IF(I34&gt;0,(I34-J34)/I34,0)</f>
        <v/>
      </c>
    </row>
    <row r="35">
      <c r="A35" s="12" t="inlineStr">
        <is>
          <t>Fancys</t>
        </is>
      </c>
      <c r="B35" s="3" t="inlineStr"/>
      <c r="C35" s="3" t="inlineStr">
        <is>
          <t>plato_menu</t>
        </is>
      </c>
      <c r="D35" s="3" t="n">
        <v>0</v>
      </c>
      <c r="E35" s="3" t="n"/>
      <c r="F35" s="3" t="n"/>
      <c r="G35" s="3" t="n"/>
      <c r="H35" s="3" t="n"/>
      <c r="I35" s="3" t="n"/>
      <c r="J35" s="5" t="n">
        <v>0</v>
      </c>
      <c r="K35" s="13">
        <f>IF(I35&gt;0,(I35-J35)/I35,0)</f>
        <v/>
      </c>
    </row>
    <row r="36">
      <c r="A36" s="12" t="inlineStr">
        <is>
          <t>Fancys XL</t>
        </is>
      </c>
      <c r="B36" s="3" t="inlineStr">
        <is>
          <t>Cheddar ×3 + Papa ×2 + Blanca + Waffle</t>
        </is>
      </c>
      <c r="C36" s="14" t="inlineStr">
        <is>
          <t>combo</t>
        </is>
      </c>
      <c r="D36" s="3" t="n">
        <v>4</v>
      </c>
      <c r="E36" s="3" t="n"/>
      <c r="F36" s="3" t="n"/>
      <c r="G36" s="3" t="n"/>
      <c r="H36" s="3" t="n"/>
      <c r="I36" s="3" t="n"/>
      <c r="J36" s="4" t="n">
        <v>2.0034</v>
      </c>
      <c r="K36" s="13">
        <f>IF(I36&gt;0,(I36-J36)/I36,0)</f>
        <v/>
      </c>
    </row>
    <row r="37">
      <c r="A37" s="12" t="inlineStr">
        <is>
          <t>Freakie Box</t>
        </is>
      </c>
      <c r="B37" s="3" t="inlineStr">
        <is>
          <t>FD ×3 + Cheddar ×3 + Mayo ×3 + Ketchup ×3 + Ranch ×2 + Aros ×1 + Papa + Waffle + Blanca + Chipotle</t>
        </is>
      </c>
      <c r="C37" s="14" t="inlineStr">
        <is>
          <t>combo</t>
        </is>
      </c>
      <c r="D37" s="3" t="n">
        <v>10</v>
      </c>
      <c r="E37" s="3" t="n"/>
      <c r="F37" s="3" t="n"/>
      <c r="G37" s="3" t="n"/>
      <c r="H37" s="3" t="n"/>
      <c r="I37" s="3" t="n"/>
      <c r="J37" s="4" t="n">
        <v>3.5953</v>
      </c>
      <c r="K37" s="13">
        <f>IF(I37&gt;0,(I37-J37)/I37,0)</f>
        <v/>
      </c>
    </row>
    <row r="38">
      <c r="A38" s="12" t="inlineStr">
        <is>
          <t>Freakie Burger</t>
        </is>
      </c>
      <c r="B38" s="3" t="inlineStr">
        <is>
          <t>Hamburguesa ×1 + Papa ×1</t>
        </is>
      </c>
      <c r="C38" s="14" t="inlineStr">
        <is>
          <t>combo</t>
        </is>
      </c>
      <c r="D38" s="3" t="n">
        <v>2</v>
      </c>
      <c r="E38" s="3" t="n"/>
      <c r="F38" s="3" t="n"/>
      <c r="G38" s="3" t="n"/>
      <c r="H38" s="3" t="n"/>
      <c r="I38" s="3" t="n"/>
      <c r="J38" s="4" t="n">
        <v>2.6146</v>
      </c>
      <c r="K38" s="13">
        <f>IF(I38&gt;0,(I38-J38)/I38,0)</f>
        <v/>
      </c>
    </row>
    <row r="39">
      <c r="A39" s="12" t="inlineStr">
        <is>
          <t>Freakie Dog</t>
        </is>
      </c>
      <c r="B39" s="3" t="inlineStr">
        <is>
          <t>FD armado ×1 + Polipel</t>
        </is>
      </c>
      <c r="C39" s="14" t="inlineStr">
        <is>
          <t>combo</t>
        </is>
      </c>
      <c r="D39" s="3" t="n">
        <v>2</v>
      </c>
      <c r="E39" s="3" t="n"/>
      <c r="F39" s="3" t="n"/>
      <c r="G39" s="3" t="n"/>
      <c r="H39" s="3" t="n"/>
      <c r="I39" s="3" t="n"/>
      <c r="J39" s="4" t="n">
        <v>0.3773</v>
      </c>
      <c r="K39" s="13">
        <f>IF(I39&gt;0,(I39-J39)/I39,0)</f>
        <v/>
      </c>
    </row>
    <row r="40">
      <c r="A40" s="12" t="inlineStr">
        <is>
          <t>Freakie Dog (menú)</t>
        </is>
      </c>
      <c r="B40" s="3" t="inlineStr">
        <is>
          <t>Escabeche ×1 + Pan Berna ×1 + Salchicha ×1</t>
        </is>
      </c>
      <c r="C40" s="3" t="inlineStr">
        <is>
          <t>plato_menu</t>
        </is>
      </c>
      <c r="D40" s="3" t="n">
        <v>3</v>
      </c>
      <c r="E40" s="3" t="n"/>
      <c r="F40" s="3" t="n"/>
      <c r="G40" s="3" t="n"/>
      <c r="H40" s="3" t="n"/>
      <c r="I40" s="3" t="n"/>
      <c r="J40" s="4" t="n">
        <v>0.2145</v>
      </c>
      <c r="K40" s="13">
        <f>IF(I40&gt;0,(I40-J40)/I40,0)</f>
        <v/>
      </c>
    </row>
    <row r="41">
      <c r="A41" s="12" t="inlineStr">
        <is>
          <t>Freakie Family</t>
        </is>
      </c>
      <c r="B41" s="3" t="inlineStr">
        <is>
          <t>FD ×4 + Papa ×4</t>
        </is>
      </c>
      <c r="C41" s="14" t="inlineStr">
        <is>
          <t>combo</t>
        </is>
      </c>
      <c r="D41" s="3" t="n">
        <v>2</v>
      </c>
      <c r="E41" s="3" t="n"/>
      <c r="F41" s="3" t="n"/>
      <c r="G41" s="3" t="n"/>
      <c r="H41" s="3" t="n"/>
      <c r="I41" s="3" t="n"/>
      <c r="J41" s="4" t="n">
        <v>3.6212</v>
      </c>
      <c r="K41" s="13">
        <f>IF(I41&gt;0,(I41-J41)/I41,0)</f>
        <v/>
      </c>
    </row>
    <row r="42">
      <c r="A42" s="12" t="inlineStr">
        <is>
          <t>Freakie Fries</t>
        </is>
      </c>
      <c r="B42" s="3" t="inlineStr">
        <is>
          <t>Papa Sazonada ×1</t>
        </is>
      </c>
      <c r="C42" s="3" t="inlineStr">
        <is>
          <t>plato_menu</t>
        </is>
      </c>
      <c r="D42" s="3" t="n">
        <v>1</v>
      </c>
      <c r="E42" s="3" t="n"/>
      <c r="F42" s="3" t="n"/>
      <c r="G42" s="3" t="n"/>
      <c r="H42" s="3" t="n"/>
      <c r="I42" s="3" t="n"/>
      <c r="J42" s="4" t="n">
        <v>0.5331</v>
      </c>
      <c r="K42" s="13">
        <f>IF(I42&gt;0,(I42-J42)/I42,0)</f>
        <v/>
      </c>
    </row>
    <row r="43">
      <c r="A43" s="12" t="inlineStr">
        <is>
          <t>La Clasica</t>
        </is>
      </c>
      <c r="B43" s="3" t="inlineStr">
        <is>
          <t>Hamburguesa ×1 + Papa ×1 + Tomate + Lechuga</t>
        </is>
      </c>
      <c r="C43" s="14" t="inlineStr">
        <is>
          <t>combo</t>
        </is>
      </c>
      <c r="D43" s="3" t="n">
        <v>4</v>
      </c>
      <c r="E43" s="3" t="n"/>
      <c r="F43" s="3" t="n"/>
      <c r="G43" s="3" t="n"/>
      <c r="H43" s="3" t="n"/>
      <c r="I43" s="3" t="n"/>
      <c r="J43" s="4" t="n">
        <v>2.6738</v>
      </c>
      <c r="K43" s="13">
        <f>IF(I43&gt;0,(I43-J43)/I43,0)</f>
        <v/>
      </c>
    </row>
    <row r="44">
      <c r="A44" s="12" t="inlineStr">
        <is>
          <t>Mega Promo</t>
        </is>
      </c>
      <c r="B44" s="3" t="inlineStr">
        <is>
          <t>FD ×2 + Papa ×2</t>
        </is>
      </c>
      <c r="C44" s="14" t="inlineStr">
        <is>
          <t>combo</t>
        </is>
      </c>
      <c r="D44" s="3" t="n">
        <v>2</v>
      </c>
      <c r="E44" s="3" t="n"/>
      <c r="F44" s="3" t="n"/>
      <c r="G44" s="3" t="n"/>
      <c r="H44" s="3" t="n"/>
      <c r="I44" s="3" t="n"/>
      <c r="J44" s="4" t="n">
        <v>1.8106</v>
      </c>
      <c r="K44" s="13">
        <f>IF(I44&gt;0,(I44-J44)/I44,0)</f>
        <v/>
      </c>
    </row>
    <row r="45">
      <c r="A45" s="12" t="inlineStr">
        <is>
          <t>Mini Fancys</t>
        </is>
      </c>
      <c r="B45" s="3" t="inlineStr"/>
      <c r="C45" s="3" t="inlineStr">
        <is>
          <t>plato_menu</t>
        </is>
      </c>
      <c r="D45" s="3" t="n">
        <v>0</v>
      </c>
      <c r="E45" s="3" t="n"/>
      <c r="F45" s="3" t="n"/>
      <c r="G45" s="3" t="n"/>
      <c r="H45" s="3" t="n"/>
      <c r="I45" s="3" t="n"/>
      <c r="J45" s="5" t="n">
        <v>0</v>
      </c>
      <c r="K45" s="13">
        <f>IF(I45&gt;0,(I45-J45)/I45,0)</f>
        <v/>
      </c>
    </row>
    <row r="46">
      <c r="A46" s="12" t="inlineStr">
        <is>
          <t>Pilsener Burger Box</t>
        </is>
      </c>
      <c r="B46" s="3" t="inlineStr">
        <is>
          <t>Burger Box ×1 + Pilsener ×1</t>
        </is>
      </c>
      <c r="C46" s="14" t="inlineStr">
        <is>
          <t>combo</t>
        </is>
      </c>
      <c r="D46" s="3" t="n">
        <v>2</v>
      </c>
      <c r="E46" s="3" t="n"/>
      <c r="F46" s="3" t="n"/>
      <c r="G46" s="3" t="n"/>
      <c r="H46" s="3" t="n"/>
      <c r="I46" s="3" t="n"/>
      <c r="J46" s="4" t="n">
        <v>7.8788</v>
      </c>
      <c r="K46" s="13">
        <f>IF(I46&gt;0,(I46-J46)/I46,0)</f>
        <v/>
      </c>
    </row>
    <row r="47">
      <c r="A47" s="12" t="inlineStr">
        <is>
          <t>Pilsener Freakie Burger</t>
        </is>
      </c>
      <c r="B47" s="3" t="inlineStr">
        <is>
          <t>Freakie Burger ×1 + Pilsener ×1</t>
        </is>
      </c>
      <c r="C47" s="14" t="inlineStr">
        <is>
          <t>combo</t>
        </is>
      </c>
      <c r="D47" s="3" t="n">
        <v>2</v>
      </c>
      <c r="E47" s="3" t="n"/>
      <c r="F47" s="3" t="n"/>
      <c r="G47" s="3" t="n"/>
      <c r="H47" s="3" t="n"/>
      <c r="I47" s="3" t="n"/>
      <c r="J47" s="4" t="n">
        <v>3.4729</v>
      </c>
      <c r="K47" s="13">
        <f>IF(I47&gt;0,(I47-J47)/I47,0)</f>
        <v/>
      </c>
    </row>
    <row r="48">
      <c r="A48" s="12" t="inlineStr">
        <is>
          <t>Pilsener Freakie Combo</t>
        </is>
      </c>
      <c r="B48" s="3" t="inlineStr">
        <is>
          <t>Coca-Cola Combo ×1 + Pilsener ×1</t>
        </is>
      </c>
      <c r="C48" s="14" t="inlineStr">
        <is>
          <t>combo</t>
        </is>
      </c>
      <c r="D48" s="3" t="n">
        <v>2</v>
      </c>
      <c r="E48" s="3" t="n"/>
      <c r="F48" s="3" t="n"/>
      <c r="G48" s="3" t="n"/>
      <c r="H48" s="3" t="n"/>
      <c r="I48" s="3" t="n"/>
      <c r="J48" s="4" t="n">
        <v>1.7636</v>
      </c>
      <c r="K48" s="13">
        <f>IF(I48&gt;0,(I48-J48)/I48,0)</f>
        <v/>
      </c>
    </row>
    <row r="49">
      <c r="A49" s="12" t="inlineStr">
        <is>
          <t>Pilsener Royal Truffle</t>
        </is>
      </c>
      <c r="B49" s="3" t="inlineStr">
        <is>
          <t>Royal Truffle ×1 + Pilsener ×1</t>
        </is>
      </c>
      <c r="C49" s="14" t="inlineStr">
        <is>
          <t>combo</t>
        </is>
      </c>
      <c r="D49" s="3" t="n">
        <v>2</v>
      </c>
      <c r="E49" s="3" t="n"/>
      <c r="F49" s="3" t="n"/>
      <c r="G49" s="3" t="n"/>
      <c r="H49" s="3" t="n"/>
      <c r="I49" s="3" t="n"/>
      <c r="J49" s="4" t="n">
        <v>7.4658</v>
      </c>
      <c r="K49" s="13">
        <f>IF(I49&gt;0,(I49-J49)/I49,0)</f>
        <v/>
      </c>
    </row>
    <row r="50">
      <c r="A50" s="12" t="inlineStr">
        <is>
          <t>Queso Frito</t>
        </is>
      </c>
      <c r="B50" s="3" t="inlineStr">
        <is>
          <t>Queso para dorar ×0.3</t>
        </is>
      </c>
      <c r="C50" s="3" t="inlineStr">
        <is>
          <t>plato_menu</t>
        </is>
      </c>
      <c r="D50" s="3" t="n">
        <v>1</v>
      </c>
      <c r="E50" s="3" t="n"/>
      <c r="F50" s="3" t="n"/>
      <c r="G50" s="3" t="n"/>
      <c r="H50" s="3" t="n"/>
      <c r="I50" s="3" t="n"/>
      <c r="J50" s="4" t="n">
        <v>1.1957</v>
      </c>
      <c r="K50" s="13">
        <f>IF(I50&gt;0,(I50-J50)/I50,0)</f>
        <v/>
      </c>
    </row>
    <row r="51">
      <c r="A51" s="12" t="inlineStr">
        <is>
          <t>Royal Truffle Combo</t>
        </is>
      </c>
      <c r="B51" s="3" t="inlineStr">
        <is>
          <t>Hamburguesa ×2 + Mini Fancy ×1 + Cilantro + Truffa + Queso Duro + Parmesano</t>
        </is>
      </c>
      <c r="C51" s="14" t="inlineStr">
        <is>
          <t>combo</t>
        </is>
      </c>
      <c r="D51" s="3" t="n">
        <v>6</v>
      </c>
      <c r="E51" s="3" t="n"/>
      <c r="F51" s="3" t="n"/>
      <c r="G51" s="3" t="n"/>
      <c r="H51" s="3" t="n"/>
      <c r="I51" s="3" t="n"/>
      <c r="J51" s="4" t="n">
        <v>6.6075</v>
      </c>
      <c r="K51" s="13">
        <f>IF(I51&gt;0,(I51-J51)/I51,0)</f>
        <v/>
      </c>
    </row>
    <row r="52">
      <c r="A52" s="12" t="inlineStr">
        <is>
          <t>Super Freak</t>
        </is>
      </c>
      <c r="B52" s="3" t="inlineStr">
        <is>
          <t>Super Freak armado ×1</t>
        </is>
      </c>
      <c r="C52" s="3" t="inlineStr">
        <is>
          <t>plato_menu</t>
        </is>
      </c>
      <c r="D52" s="3" t="n">
        <v>1</v>
      </c>
      <c r="E52" s="3" t="n"/>
      <c r="F52" s="3" t="n"/>
      <c r="G52" s="3" t="n"/>
      <c r="H52" s="3" t="n"/>
      <c r="I52" s="3" t="n"/>
      <c r="J52" s="4" t="n">
        <v>0.5979</v>
      </c>
      <c r="K52" s="13">
        <f>IF(I52&gt;0,(I52-J52)/I52,0)</f>
        <v/>
      </c>
    </row>
    <row r="53">
      <c r="A53" s="12" t="inlineStr">
        <is>
          <t>Super Freak Individual</t>
        </is>
      </c>
      <c r="B53" s="3" t="inlineStr">
        <is>
          <t>Mezcla Smash ×3 + Sal ×1 + Pan HD Brioche ×1 + Queso ×0.5</t>
        </is>
      </c>
      <c r="C53" s="3" t="inlineStr">
        <is>
          <t>plato_menu</t>
        </is>
      </c>
      <c r="D53" s="3" t="n">
        <v>4</v>
      </c>
      <c r="E53" s="3" t="n"/>
      <c r="F53" s="3" t="n"/>
      <c r="G53" s="3" t="n"/>
      <c r="H53" s="3" t="n"/>
      <c r="I53" s="3" t="n"/>
      <c r="J53" s="4" t="n">
        <v>3.6604</v>
      </c>
      <c r="K53" s="13">
        <f>IF(I53&gt;0,(I53-J53)/I53,0)</f>
        <v/>
      </c>
    </row>
    <row r="54">
      <c r="A54" s="12" t="inlineStr">
        <is>
          <t>Sweat Freak</t>
        </is>
      </c>
      <c r="B54" s="3" t="inlineStr">
        <is>
          <t>Cheesecake ×0.1</t>
        </is>
      </c>
      <c r="C54" s="3" t="inlineStr">
        <is>
          <t>plato_menu</t>
        </is>
      </c>
      <c r="D54" s="3" t="n">
        <v>1</v>
      </c>
      <c r="E54" s="3" t="n"/>
      <c r="F54" s="3" t="n"/>
      <c r="G54" s="3" t="n"/>
      <c r="H54" s="3" t="n"/>
      <c r="I54" s="3" t="n"/>
      <c r="J54" s="4" t="n">
        <v>2.5</v>
      </c>
      <c r="K54" s="13">
        <f>IF(I54&gt;0,(I54-J54)/I54,0)</f>
        <v/>
      </c>
    </row>
    <row r="55">
      <c r="A55" s="12" t="inlineStr">
        <is>
          <t>Sweet Burger Duo</t>
        </is>
      </c>
      <c r="B55" s="3" t="inlineStr">
        <is>
          <t>Hamburguesa ×2 + Papa ×2 + Cheesecake</t>
        </is>
      </c>
      <c r="C55" s="14" t="inlineStr">
        <is>
          <t>combo</t>
        </is>
      </c>
      <c r="D55" s="3" t="n">
        <v>3</v>
      </c>
      <c r="E55" s="3" t="n"/>
      <c r="F55" s="3" t="n"/>
      <c r="G55" s="3" t="n"/>
      <c r="H55" s="3" t="n"/>
      <c r="I55" s="3" t="n"/>
      <c r="J55" s="4" t="n">
        <v>7.7292</v>
      </c>
      <c r="K55" s="13">
        <f>IF(I55&gt;0,(I55-J55)/I55,0)</f>
        <v/>
      </c>
    </row>
    <row r="56">
      <c r="A56" s="12" t="inlineStr">
        <is>
          <t>Tocino porción</t>
        </is>
      </c>
      <c r="B56" s="3" t="inlineStr">
        <is>
          <t>Tocino Chimex ×0.032</t>
        </is>
      </c>
      <c r="C56" s="3" t="inlineStr">
        <is>
          <t>plato_menu</t>
        </is>
      </c>
      <c r="D56" s="3" t="n">
        <v>1</v>
      </c>
      <c r="E56" s="3" t="n"/>
      <c r="F56" s="3" t="n"/>
      <c r="G56" s="3" t="n"/>
      <c r="H56" s="3" t="n"/>
      <c r="I56" s="3" t="n"/>
      <c r="J56" s="4" t="n">
        <v>0.2328</v>
      </c>
      <c r="K56" s="13">
        <f>IF(I56&gt;0,(I56-J56)/I56,0)</f>
        <v/>
      </c>
    </row>
  </sheetData>
  <autoFilter ref="A1:K56"/>
  <pageMargins left="0.75" right="0.75" top="1" bottom="1" header="0.5" footer="0.5"/>
</worksheet>
</file>

<file path=xl/worksheets/sheet4.xml><?xml version="1.0" encoding="utf-8"?>
<worksheet xmlns="http://schemas.openxmlformats.org/spreadsheetml/2006/main">
  <sheetPr>
    <tabColor rgb="009e9e9e"/>
    <outlinePr summaryBelow="1" summaryRight="1"/>
    <pageSetUpPr/>
  </sheetPr>
  <dimension ref="A1:B22"/>
  <sheetViews>
    <sheetView workbookViewId="0">
      <selection activeCell="A1" sqref="A1"/>
    </sheetView>
  </sheetViews>
  <sheetFormatPr baseColWidth="8" defaultRowHeight="15"/>
  <cols>
    <col width="28" customWidth="1" min="1" max="1"/>
    <col width="100" customWidth="1" min="2" max="2"/>
  </cols>
  <sheetData>
    <row r="1">
      <c r="A1" s="15" t="inlineStr">
        <is>
          <t>Estructura del Excel</t>
        </is>
      </c>
      <c r="B1" t="inlineStr"/>
    </row>
    <row r="2">
      <c r="A2" s="16" t="inlineStr">
        <is>
          <t>Tab Materia Prima</t>
        </is>
      </c>
      <c r="B2" t="inlineStr">
        <is>
          <t>Lista maestra de productos/insumos. Es la fuente de verdad para precios. Los tabs de Sub-Productos y BOM Menú buscan precios aquí con BUSCARV. Rango nombrado: 'ListaIngredientes'.</t>
        </is>
      </c>
    </row>
    <row r="3">
      <c r="A3" s="16" t="inlineStr">
        <is>
          <t>Tab Sub-Productos</t>
        </is>
      </c>
      <c r="B3" t="inlineStr">
        <is>
          <t>Recetas de producción (salsas, mezcla de carne, etc.). Cada sección tiene encabezado (nombre + rendimiento), ingredientes con BUSCARV al precio, y TOTAL con costo/porción. Actualizado con recetas V3/V4 de Cesar (26-ago-2026).</t>
        </is>
      </c>
    </row>
    <row r="4">
      <c r="A4" s="16" t="inlineStr">
        <is>
          <t>Tab BOM Menú</t>
        </is>
      </c>
      <c r="B4" t="inlineStr">
        <is>
          <t>Bill of Materials de cada ítem del menú. Columna I (precio venta) es editable — llená el precio y la columna K calcula el margen automáticamente.</t>
        </is>
      </c>
    </row>
    <row r="5">
      <c r="A5" s="15" t="inlineStr"/>
      <c r="B5" t="inlineStr"/>
    </row>
    <row r="6">
      <c r="A6" s="15" t="inlineStr">
        <is>
          <t>Cómo usar</t>
        </is>
      </c>
      <c r="B6" t="inlineStr"/>
    </row>
    <row r="7">
      <c r="A7" s="16" t="inlineStr">
        <is>
          <t>Editar un precio de MP</t>
        </is>
      </c>
      <c r="B7" t="inlineStr">
        <is>
          <t>Cambiá la columna E en Materia Prima. Todas las fórmulas BUSCARV en Sub-Productos se actualizan automáticamente.</t>
        </is>
      </c>
    </row>
    <row r="8">
      <c r="A8" s="16" t="inlineStr">
        <is>
          <t>Agregar un ingrediente</t>
        </is>
      </c>
      <c r="B8" t="inlineStr">
        <is>
          <t>Seleccioná de la lista desplegable en la columna B de Sub-Productos (apunta a Materia Prima).</t>
        </is>
      </c>
    </row>
    <row r="9">
      <c r="A9" s="16" t="inlineStr">
        <is>
          <t>Calcular margen</t>
        </is>
      </c>
      <c r="B9" t="inlineStr">
        <is>
          <t>Poné el precio de venta en la columna I de BOM Menú. El margen % se calcula solo.</t>
        </is>
      </c>
    </row>
    <row r="10">
      <c r="A10" s="15" t="inlineStr"/>
      <c r="B10" t="inlineStr"/>
    </row>
    <row r="11">
      <c r="A11" s="15" t="inlineStr">
        <is>
          <t>Datos V3/V4 (Cesar, 25-ago-2026)</t>
        </is>
      </c>
      <c r="B11" t="inlineStr"/>
    </row>
    <row r="12">
      <c r="A12" s="16" t="inlineStr">
        <is>
          <t>Mezcla Smash V3</t>
        </is>
      </c>
      <c r="B12" t="inlineStr">
        <is>
          <t>667 bolitas/lote 100 lb. New York 30, CAB 25, Brisket 20, Molida 80/20 15, Nuca 10. Sazonador 510g. Costo/bolita $0.70.</t>
        </is>
      </c>
    </row>
    <row r="13">
      <c r="A13" s="16" t="inlineStr">
        <is>
          <t>Sal Hamburguesa</t>
        </is>
      </c>
      <c r="B13" t="inlineStr">
        <is>
          <t>90% sal fina + 10% MSG. Lote 1 kg = 1000 porciones de 1 g. $0.0015/hamburguesa.</t>
        </is>
      </c>
    </row>
    <row r="14">
      <c r="A14" s="16" t="inlineStr">
        <is>
          <t>Cebolla Morada V2</t>
        </is>
      </c>
      <c r="B14" t="inlineStr">
        <is>
          <t>25 lb cebolla + 0.2 L vinagre + hielo. Rendimiento 998 porciones 10g. Merma 12% YA en rendimiento.</t>
        </is>
      </c>
    </row>
    <row r="15">
      <c r="A15" s="16" t="inlineStr">
        <is>
          <t>Salsa Mil Islas V4</t>
        </is>
      </c>
      <c r="B15" t="inlineStr">
        <is>
          <t>Rendimiento 790 porciones 1 oz. INGREDIENTES V4 NO APLICADOS AÚN (conversiones ml/L pendientes).</t>
        </is>
      </c>
    </row>
    <row r="16">
      <c r="A16" s="15" t="inlineStr"/>
      <c r="B16" t="inlineStr"/>
    </row>
    <row r="17">
      <c r="A17" s="15" t="inlineStr">
        <is>
          <t>Issues conocidos</t>
        </is>
      </c>
      <c r="B17" t="inlineStr"/>
    </row>
    <row r="18">
      <c r="A18" s="16" t="inlineStr">
        <is>
          <t>Salchicha paquete</t>
        </is>
      </c>
      <c r="B18" t="inlineStr">
        <is>
          <t>costo_producto = $0 porque DTEs mapeadas al producto por unidad, no al paquete.</t>
        </is>
      </c>
    </row>
    <row r="19">
      <c r="A19" s="16" t="inlineStr">
        <is>
          <t>Pepinillo triturado</t>
        </is>
      </c>
      <c r="B19" t="inlineStr">
        <is>
          <t>costo_producto = $0, sin DTEs mapeadas.</t>
        </is>
      </c>
    </row>
    <row r="20">
      <c r="A20" s="16" t="inlineStr">
        <is>
          <t>~$25K carne sin mapear</t>
        </is>
      </c>
      <c r="B20" t="inlineStr">
        <is>
          <t>6,373 lb de carne en 3 meses sin entrar a ningún producto del inventario.</t>
        </is>
      </c>
    </row>
    <row r="21">
      <c r="A21" s="15" t="inlineStr"/>
      <c r="B21" t="inlineStr"/>
    </row>
    <row r="22">
      <c r="A22" s="16" t="inlineStr">
        <is>
          <t>Generado</t>
        </is>
      </c>
      <c r="B22" t="inlineStr">
        <is>
          <t>2026-08-26 — Supabase btboxlwfqcbrdfrlnwln — Post-migración recetas_cesar_v3_v4_completo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2026-08-26T22:24:34Z</dcterms:created>
  <dcterms:modified xsi:type="dcterms:W3CDTF">2026-08-26T22:24:35Z</dcterms:modified>
</cp:coreProperties>
</file>